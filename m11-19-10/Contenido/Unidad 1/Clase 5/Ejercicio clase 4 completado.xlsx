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9bab4e3e3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2" sheetId="2" r:id="R42f597a478e64b73"/>
  </x:sheets>
  <x:definedNames>
    <x:definedName name="carrera_facultad">#REF!</x:definedName>
    <x:definedName name="diasSemana">#REF!</x:definedName>
  </x:definedNames>
</x:workbook>
</file>

<file path=xl/sharedStrings.xml><?xml version="1.0" encoding="utf-8"?>
<x:sst xmlns:x="http://schemas.openxmlformats.org/spreadsheetml/2006/main">
  <x:si>
    <x:t xml:space="preserve">AÑO INGRESO</x:t>
  </x:si>
  <x:si>
    <x:t xml:space="preserve">ALUMNO</x:t>
  </x:si>
  <x:si>
    <x:t xml:space="preserve">CARRERA</x:t>
  </x:si>
  <x:si>
    <x:t xml:space="preserve">MATERIAS APROBADAS</x:t>
  </x:si>
  <x:si>
    <x:t xml:space="preserve">MÁS DE 20 MATERIAS</x:t>
  </x:si>
  <x:si>
    <x:t xml:space="preserve">FACULTAD</x:t>
  </x:si>
  <x:si>
    <x:t xml:space="preserve">Michia, Daniela</x:t>
  </x:si>
  <x:si>
    <x:t xml:space="preserve">Odontología</x:t>
  </x:si>
  <x:si>
    <x:t xml:space="preserve">Medicina y Ciencias de la Salud</x:t>
  </x:si>
  <x:si>
    <x:t xml:space="preserve">MATERIAS APROBADAS POR ALUMNO</x:t>
  </x:si>
  <x:si>
    <x:t xml:space="preserve">Cabral, Gabriela</x:t>
  </x:si>
  <x:si>
    <x:t xml:space="preserve">Lic. en Psicología</x:t>
  </x:si>
  <x:si>
    <x:t xml:space="preserve">Psicología y Relaciones Humanas</x:t>
  </x:si>
  <x:si>
    <x:t xml:space="preserve">TOTAL</x:t>
  </x:si>
  <x:si>
    <x:t xml:space="preserve">Gutierrez, Natalia</x:t>
  </x:si>
  <x:si>
    <x:t xml:space="preserve">PROMEDIO</x:t>
  </x:si>
  <x:si>
    <x:t xml:space="preserve">Grieco, Mauro</x:t>
  </x:si>
  <x:si>
    <x:t xml:space="preserve">MÁXIMO</x:t>
  </x:si>
  <x:si>
    <x:t xml:space="preserve">Perez, Cynthia Daiana</x:t>
  </x:si>
  <x:si>
    <x:t xml:space="preserve">MÍNIMO</x:t>
  </x:si>
  <x:si>
    <x:t xml:space="preserve">Loureiro, Carina</x:t>
  </x:si>
  <x:si>
    <x:t xml:space="preserve">Lic. en Instrumentación Quirúrgica</x:t>
  </x:si>
  <x:si>
    <x:t xml:space="preserve">CANTIDAD ALUMNOS</x:t>
  </x:si>
  <x:si>
    <x:t xml:space="preserve">Amaya, Marcelo</x:t>
  </x:si>
  <x:si>
    <x:t xml:space="preserve">Lic. en Terapia Ocupacional</x:t>
  </x:si>
  <x:si>
    <x:t xml:space="preserve">Perez, Agustin</x:t>
  </x:si>
  <x:si>
    <x:t xml:space="preserve">Palmiotti, Florencia</x:t>
  </x:si>
  <x:si>
    <x:t xml:space="preserve">MATERIAS APROBADAS POR CARRERA</x:t>
  </x:si>
  <x:si>
    <x:t xml:space="preserve">Quispe, Giovanna</x:t>
  </x:si>
  <x:si>
    <x:t xml:space="preserve">Lic. en Nutrición</x:t>
  </x:si>
  <x:si>
    <x:t xml:space="preserve">Ricardez, Leandro</x:t>
  </x:si>
  <x:si>
    <x:t xml:space="preserve">Perez, Eliana</x:t>
  </x:si>
  <x:si>
    <x:t xml:space="preserve">Breccia, Nicolas</x:t>
  </x:si>
  <x:si>
    <x:t xml:space="preserve">Trinidad Shirley Yohani</x:t>
  </x:si>
  <x:si>
    <x:t xml:space="preserve">Gomez, Melisa</x:t>
  </x:si>
  <x:si>
    <x:t xml:space="preserve">Bustos, Lautaro </x:t>
  </x:si>
  <x:si>
    <x:t xml:space="preserve">Gonzalez, Angeles</x:t>
  </x:si>
  <x:si>
    <x:t xml:space="preserve">ALUMNOS POR FACULTAD</x:t>
  </x:si>
  <x:si>
    <x:t xml:space="preserve">Balmaceda, Marcelo</x:t>
  </x:si>
  <x:si>
    <x:t xml:space="preserve">Gamarra, Fernando</x:t>
  </x:si>
  <x:si>
    <x:t xml:space="preserve">Buttafuoco, Fernando</x:t>
  </x:si>
  <x:si>
    <x:t xml:space="preserve">Romero, Santiago</x:t>
  </x:si>
  <x:si>
    <x:t xml:space="preserve">Marin, Federico</x:t>
  </x:si>
  <x:si>
    <x:t xml:space="preserve">Samad, Emiliano</x:t>
  </x:si>
  <x:si>
    <x:t xml:space="preserve">Gomez, Lucas</x:t>
  </x:si>
  <x:si>
    <x:t xml:space="preserve">Di Masi, Laura</x:t>
  </x:si>
  <x:si>
    <x:t xml:space="preserve">Peroni, Enrique</x:t>
  </x:si>
  <x:si>
    <x:t xml:space="preserve">Violante, Mariano</x:t>
  </x:si>
  <x:si>
    <x:t xml:space="preserve">Pinto, Claudia</x:t>
  </x:si>
  <x:si>
    <x:t xml:space="preserve">Auber, Luida</x:t>
  </x:si>
  <x:si>
    <x:t xml:space="preserve">Erdocia, Felipe</x:t>
  </x:si>
  <x:si>
    <x:t xml:space="preserve">Biasotti, Violeta</x:t>
  </x:si>
  <x:si>
    <x:t xml:space="preserve">Rebecchi, Marcos</x:t>
  </x:si>
  <x:si>
    <x:t xml:space="preserve">Alvarellos, Daiana</x:t>
  </x:si>
  <x:si>
    <x:t xml:space="preserve">Baez, Agustin</x:t>
  </x:si>
  <x:si>
    <x:t xml:space="preserve">Cortina, Maximiliano</x:t>
  </x:si>
  <x:si>
    <x:t xml:space="preserve">Montaner, Sabrina</x:t>
  </x:si>
  <x:si>
    <x:t xml:space="preserve">Reichelt, Carolina</x:t>
  </x:si>
  <x:si>
    <x:t xml:space="preserve">Lares, Gonzalo</x:t>
  </x:si>
  <x:si>
    <x:t xml:space="preserve">Iglesias, Rocio</x:t>
  </x:si>
  <x:si>
    <x:t xml:space="preserve">Galeano, Carla</x:t>
  </x:si>
  <x:si>
    <x:t xml:space="preserve">Uria, Valeria</x:t>
  </x:si>
  <x:si>
    <x:t xml:space="preserve">Ressia, Jorge</x:t>
  </x:si>
  <x:si>
    <x:t xml:space="preserve">Balderrama, Rebeca</x:t>
  </x:si>
  <x:si>
    <x:t xml:space="preserve">Borello, Romina</x:t>
  </x:si>
  <x:si>
    <x:t xml:space="preserve">Giovannini, Magali</x:t>
  </x:si>
  <x:si>
    <x:t xml:space="preserve">Constantin, Tomas</x:t>
  </x:si>
  <x:si>
    <x:t xml:space="preserve">Cwiluk, Paola</x:t>
  </x:si>
  <x:si>
    <x:t xml:space="preserve">Arregui, Federico</x:t>
  </x:si>
  <x:si>
    <x:t xml:space="preserve">Rios, Gerardo</x:t>
  </x:si>
  <x:si>
    <x:t xml:space="preserve">Gibert, Florencia</x:t>
  </x:si>
  <x:si>
    <x:t xml:space="preserve">Torres, Juan</x:t>
  </x:si>
  <x:si>
    <x:t xml:space="preserve">Maqueira, Fernanda</x:t>
  </x:si>
  <x:si>
    <x:t xml:space="preserve">Farias, Juan </x:t>
  </x:si>
  <x:si>
    <x:t xml:space="preserve">Perez, Lorena</x:t>
  </x:si>
  <x:si>
    <x:t xml:space="preserve">Aymeric, Johanna</x:t>
  </x:si>
  <x:si>
    <x:t xml:space="preserve">Girotti, Maria</x:t>
  </x:si>
  <x:si>
    <x:t xml:space="preserve">Dieste, Yanina</x:t>
  </x:si>
  <x:si>
    <x:t xml:space="preserve">Stagnaro, Carolina</x:t>
  </x:si>
  <x:si>
    <x:t xml:space="preserve">Palavecino, Claudia</x:t>
  </x:si>
  <x:si>
    <x:t xml:space="preserve">Flores Odiard, Maria</x:t>
  </x:si>
  <x:si>
    <x:t xml:space="preserve">Sosa, Laura Daniela</x:t>
  </x:si>
  <x:si>
    <x:t xml:space="preserve">Mendez, Yamila</x:t>
  </x:si>
  <x:si>
    <x:t xml:space="preserve">Encinas, Juan Martin</x:t>
  </x:si>
  <x:si>
    <x:t xml:space="preserve">Biasone Sanchez, Maria</x:t>
  </x:si>
  <x:si>
    <x:t xml:space="preserve">Fernandez, Cecilia</x:t>
  </x:si>
  <x:si>
    <x:t xml:space="preserve">Leguizamon, Maria</x:t>
  </x:si>
  <x:si>
    <x:t xml:space="preserve">Chaparro, Maximiliano</x:t>
  </x:si>
  <x:si>
    <x:t xml:space="preserve">Ferro, Luciana B.</x:t>
  </x:si>
  <x:si>
    <x:t xml:space="preserve">Demattei, Florencia</x:t>
  </x:si>
  <x:si>
    <x:t xml:space="preserve">Deniz, Fernando</x:t>
  </x:si>
  <x:si>
    <x:t xml:space="preserve">Palacios, Rocio</x:t>
  </x:si>
  <x:si>
    <x:t xml:space="preserve">Montenegro, Mariana</x:t>
  </x:si>
  <x:si>
    <x:t xml:space="preserve">Santos Neves, Silvia</x:t>
  </x:si>
  <x:si>
    <x:t xml:space="preserve">Gonzalez, Noelia</x:t>
  </x:si>
  <x:si>
    <x:t xml:space="preserve">Vescio, Paola</x:t>
  </x:si>
  <x:si>
    <x:t xml:space="preserve">Wang, Jing</x:t>
  </x:si>
  <x:si>
    <x:t xml:space="preserve">Di Nuzzo, Martin</x:t>
  </x:si>
  <x:si>
    <x:t xml:space="preserve">Dorta, Gonzalo</x:t>
  </x:si>
  <x:si>
    <x:t xml:space="preserve">Choque, Gimena</x:t>
  </x:si>
</x:sst>
</file>

<file path=xl/styles.xml><?xml version="1.0" encoding="utf-8"?>
<x:styleSheet xmlns:x="http://schemas.openxmlformats.org/spreadsheetml/2006/main">
  <x:numFmts count="5">
    <x:numFmt numFmtId="164" formatCode="_ * #,##0.00_ ;_ * \-#,##0.00_ ;_ * &quot;-&quot;??_ ;_ @_ "/>
    <x:numFmt numFmtId="165" formatCode="_ * #,##0_ ;_ * \-#,##0_ ;_ * &quot;-&quot;??_ ;_ @_ "/>
    <x:numFmt numFmtId="200" formatCode="0"/>
    <x:numFmt numFmtId="201" formatCode="#,##0"/>
    <x:numFmt numFmtId="202" formatCode="0.00"/>
  </x:numFmts>
  <x:fonts count="4">
    <x:font>
      <x:sz val="11"/>
      <x:color theme="1"/>
      <x:name val="Calibri"/>
    </x:font>
    <x:font>
      <x:b/>
      <x:sz val="11"/>
      <x:color theme="0"/>
      <x:name val="Calibri"/>
    </x:font>
    <x:font>
      <x:sz val="11"/>
      <x:color theme="1"/>
      <x:name val="Calibri"/>
    </x:font>
    <x:font>
      <x:b/>
      <x:sz val="11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002060"/>
      </x:patternFill>
    </x:fill>
    <x:fill>
      <x:patternFill patternType="solid">
        <x:fgColor rgb="FFFFC000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/>
    <x:xf numFmtId="164" fontId="2" fillId="0" borderId="0" applyFont="0" applyFill="0" applyBorder="0" applyAlignment="0" applyProtection="0"/>
  </x:cellStyleXfs>
  <x:cellXfs count="11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0" fillId="0" borderId="1" xfId="0" applyBorder="1"/>
    <x:xf numFmtId="14" fontId="0" fillId="0" borderId="0" xfId="0" applyNumberFormat="1"/>
    <x:xf numFmtId="14" fontId="1" fillId="2" borderId="1" xfId="0" applyNumberFormat="1" applyFont="1" applyFill="1" applyBorder="1" applyAlignment="1">
      <x:alignment horizontal="center" vertical="center" wrapText="1"/>
    </x:xf>
    <x:xf numFmtId="165" fontId="0" fillId="0" borderId="1" xfId="1" applyNumberFormat="1" applyFont="1" applyBorder="1"/>
    <x:xf numFmtId="2" fontId="0" fillId="0" borderId="1" xfId="0" applyNumberFormat="1" applyBorder="1"/>
    <x:xf numFmtId="0" fontId="3" fillId="3" borderId="1" xfId="0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</x:cellXfs>
  <x:cellStyles count="2">
    <x:cellStyle name="Millares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a47e45a40d44d1" /><Relationship Type="http://schemas.openxmlformats.org/officeDocument/2006/relationships/theme" Target="/xl/theme/theme1.xml" Id="Re98a582f8cea41ce" /><Relationship Type="http://schemas.openxmlformats.org/officeDocument/2006/relationships/sharedStrings" Target="/xl/sharedStrings.xml" Id="R97702a7b7e1348ac" /><Relationship Type="http://schemas.openxmlformats.org/officeDocument/2006/relationships/worksheet" Target="/xl/worksheets/sheet1.xml" Id="R42f597a478e64b7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5"/>
  <x:cols>
    <x:col min="1" max="1" width="10.5703125" style="3" customWidth="1"/>
    <x:col min="2" max="2" width="10.5703125" style="3" customWidth="1"/>
    <x:col min="3" max="3" width="20.28515625" customWidth="1"/>
    <x:col min="4" max="4" width="29.140625" customWidth="1"/>
    <x:col min="5" max="5" width="11.5703125" customWidth="1"/>
    <x:col min="6" max="6" width="18.42578125" customWidth="1"/>
    <x:col min="7" max="7" width="28" customWidth="1"/>
    <x:col min="9" max="9" width="32" customWidth="1"/>
    <x:col min="10" max="10" width="10.85546875" customWidth="1"/>
    <x:col min="11" max="11" width="7.85546875" customWidth="1"/>
  </x:cols>
  <x:sheetData>
    <x:row r="1" ht="45">
      <x:c r="A1" s="4" t="str">
        <x:v>FECHA DE INGRESO</x:v>
      </x:c>
      <x:c r="B1" s="4" t="s">
        <x:v>0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</x:row>
    <x:row r="2">
      <x:c r="A2" s="3">
        <x:v>41166</x:v>
      </x:c>
      <x:c r="B2" s="8" t="n">
        <x:f>YEAR(A2)</x:f>
        <x:v>2012</x:v>
      </x:c>
      <x:c r="C2" t="s">
        <x:v>6</x:v>
      </x:c>
      <x:c r="D2" t="s">
        <x:v>7</x:v>
      </x:c>
      <x:c r="E2">
        <x:v>16</x:v>
      </x:c>
      <x:c r="F2" t="str">
        <x:f>IF(E2 &gt;  20, "Mas de 20 aprobadas", "Menos")</x:f>
        <x:v>Menos</x:v>
      </x:c>
      <x:c r="G2" t="s">
        <x:v>8</x:v>
      </x:c>
      <x:c r="I2" s="7" t="s">
        <x:v>9</x:v>
      </x:c>
      <x:c r="J2" s="7"/>
    </x:row>
    <x:row r="3">
      <x:c r="A3" s="3">
        <x:v>41737</x:v>
      </x:c>
      <x:c r="B3" s="8" t="n">
        <x:f>YEAR(A3)</x:f>
        <x:v>2014</x:v>
      </x:c>
      <x:c r="C3" t="s">
        <x:v>10</x:v>
      </x:c>
      <x:c r="D3" t="s">
        <x:v>11</x:v>
      </x:c>
      <x:c r="E3">
        <x:v>27</x:v>
      </x:c>
      <x:c r="F3" t="str">
        <x:f t="shared" ref="F3:F66" si="0">IF(E3 &gt;  20, "Mas de 20 aprobadas", "Menos")</x:f>
        <x:v>Mas de 20 aprobadas</x:v>
      </x:c>
      <x:c r="G3" t="s">
        <x:v>12</x:v>
      </x:c>
      <x:c r="I3" s="2" t="s">
        <x:v>13</x:v>
      </x:c>
      <x:c r="J3" s="9" t="n">
        <x:f>SUM($E$2:$E$80)</x:f>
        <x:v>1228</x:v>
      </x:c>
    </x:row>
    <x:row r="4">
      <x:c r="A4" s="3">
        <x:v>43881</x:v>
      </x:c>
      <x:c r="B4" s="8" t="n">
        <x:f>YEAR(A4)</x:f>
        <x:v>2020</x:v>
      </x:c>
      <x:c r="C4" t="s">
        <x:v>14</x:v>
      </x:c>
      <x:c r="D4" t="s">
        <x:v>7</x:v>
      </x:c>
      <x:c r="E4">
        <x:v>15</x:v>
      </x:c>
      <x:c r="F4" t="str">
        <x:f t="shared" si="0"/>
        <x:v>Menos</x:v>
      </x:c>
      <x:c r="G4" t="s">
        <x:v>8</x:v>
      </x:c>
      <x:c r="I4" s="2" t="s">
        <x:v>15</x:v>
      </x:c>
      <x:c r="J4" s="10" t="n">
        <x:f>AVERAGE($E$2:$E$80)</x:f>
        <x:v>15.544303797468354</x:v>
      </x:c>
    </x:row>
    <x:row r="5">
      <x:c r="A5" s="3">
        <x:v>41332</x:v>
      </x:c>
      <x:c r="B5" s="8" t="n">
        <x:f>YEAR(A5)</x:f>
        <x:v>2013</x:v>
      </x:c>
      <x:c r="C5" t="s">
        <x:v>16</x:v>
      </x:c>
      <x:c r="D5" t="s">
        <x:v>11</x:v>
      </x:c>
      <x:c r="E5">
        <x:v>12</x:v>
      </x:c>
      <x:c r="F5" t="str">
        <x:f t="shared" si="0"/>
        <x:v>Menos</x:v>
      </x:c>
      <x:c r="G5" t="s">
        <x:v>12</x:v>
      </x:c>
      <x:c r="I5" s="2" t="s">
        <x:v>17</x:v>
      </x:c>
      <x:c r="J5" s="9" t="n">
        <x:f>MAX($E$2:$E$80)</x:f>
        <x:v>28</x:v>
      </x:c>
    </x:row>
    <x:row r="6">
      <x:c r="A6" s="3">
        <x:v>41318</x:v>
      </x:c>
      <x:c r="B6" s="8" t="n">
        <x:f>YEAR(A6)</x:f>
        <x:v>2013</x:v>
      </x:c>
      <x:c r="C6" t="s">
        <x:v>18</x:v>
      </x:c>
      <x:c r="D6" t="s">
        <x:v>7</x:v>
      </x:c>
      <x:c r="E6">
        <x:v>7</x:v>
      </x:c>
      <x:c r="F6" t="str">
        <x:f t="shared" si="0"/>
        <x:v>Menos</x:v>
      </x:c>
      <x:c r="G6" t="s">
        <x:v>8</x:v>
      </x:c>
      <x:c r="I6" s="2" t="s">
        <x:v>19</x:v>
      </x:c>
      <x:c r="J6" s="9" t="n">
        <x:f>MIN($E$2:$E$80)</x:f>
        <x:v>4</x:v>
      </x:c>
    </x:row>
    <x:row r="7">
      <x:c r="A7" s="3">
        <x:v>42982</x:v>
      </x:c>
      <x:c r="B7" s="8" t="n">
        <x:f>YEAR(A7)</x:f>
        <x:v>2017</x:v>
      </x:c>
      <x:c r="C7" t="s">
        <x:v>20</x:v>
      </x:c>
      <x:c r="D7" t="s">
        <x:v>21</x:v>
      </x:c>
      <x:c r="E7">
        <x:v>9</x:v>
      </x:c>
      <x:c r="F7" t="str">
        <x:f t="shared" si="0"/>
        <x:v>Menos</x:v>
      </x:c>
      <x:c r="G7" t="s">
        <x:v>8</x:v>
      </x:c>
      <x:c r="I7" s="2" t="s">
        <x:v>22</x:v>
      </x:c>
      <x:c r="J7" s="9" t="n">
        <x:f>COUNTA($C$2:$C$80)</x:f>
        <x:v>79</x:v>
      </x:c>
    </x:row>
    <x:row r="8">
      <x:c r="A8" s="3">
        <x:v>43942</x:v>
      </x:c>
      <x:c r="B8" s="8" t="n">
        <x:f>YEAR(A8)</x:f>
        <x:v>2020</x:v>
      </x:c>
      <x:c r="C8" t="s">
        <x:v>23</x:v>
      </x:c>
      <x:c r="D8" t="s">
        <x:v>24</x:v>
      </x:c>
      <x:c r="E8">
        <x:v>15</x:v>
      </x:c>
      <x:c r="F8" t="str">
        <x:f t="shared" si="0"/>
        <x:v>Menos</x:v>
      </x:c>
      <x:c r="G8" t="s">
        <x:v>12</x:v>
      </x:c>
    </x:row>
    <x:row r="9">
      <x:c r="A9" s="3">
        <x:v>42464</x:v>
      </x:c>
      <x:c r="B9" s="8" t="n">
        <x:f>YEAR(A9)</x:f>
        <x:v>2016</x:v>
      </x:c>
      <x:c r="C9" t="s">
        <x:v>25</x:v>
      </x:c>
      <x:c r="D9" t="s">
        <x:v>21</x:v>
      </x:c>
      <x:c r="E9">
        <x:v>27</x:v>
      </x:c>
      <x:c r="F9" t="str">
        <x:f t="shared" si="0"/>
        <x:v>Mas de 20 aprobadas</x:v>
      </x:c>
      <x:c r="G9" t="s">
        <x:v>8</x:v>
      </x:c>
    </x:row>
    <x:row r="10">
      <x:c r="A10" s="3">
        <x:v>42909</x:v>
      </x:c>
      <x:c r="B10" s="8" t="n">
        <x:f>YEAR(A10)</x:f>
        <x:v>2017</x:v>
      </x:c>
      <x:c r="C10" t="s">
        <x:v>26</x:v>
      </x:c>
      <x:c r="D10" t="s">
        <x:v>21</x:v>
      </x:c>
      <x:c r="E10">
        <x:v>12</x:v>
      </x:c>
      <x:c r="F10" t="str">
        <x:f t="shared" si="0"/>
        <x:v>Menos</x:v>
      </x:c>
      <x:c r="G10" t="s">
        <x:v>8</x:v>
      </x:c>
      <x:c r="I10" s="7" t="s">
        <x:v>27</x:v>
      </x:c>
      <x:c r="J10" s="7"/>
    </x:row>
    <x:row r="11">
      <x:c r="A11" s="3">
        <x:v>43692</x:v>
      </x:c>
      <x:c r="B11" s="8" t="n">
        <x:f>YEAR(A11)</x:f>
        <x:v>2019</x:v>
      </x:c>
      <x:c r="C11" t="s">
        <x:v>28</x:v>
      </x:c>
      <x:c r="D11" t="s">
        <x:v>29</x:v>
      </x:c>
      <x:c r="E11">
        <x:v>26</x:v>
      </x:c>
      <x:c r="F11" t="str">
        <x:f t="shared" si="0"/>
        <x:v>Mas de 20 aprobadas</x:v>
      </x:c>
      <x:c r="G11" t="s">
        <x:v>8</x:v>
      </x:c>
      <x:c r="I11" s="2" t="s">
        <x:v>7</x:v>
      </x:c>
      <x:c r="J11" s="9" t="n">
        <x:f>SUMIF($D$2:$D$80,I11,$E$2:$E$80)</x:f>
        <x:v>351</x:v>
      </x:c>
    </x:row>
    <x:row r="12">
      <x:c r="A12" s="3">
        <x:v>43693</x:v>
      </x:c>
      <x:c r="B12" s="8" t="n">
        <x:f>YEAR(A12)</x:f>
        <x:v>2019</x:v>
      </x:c>
      <x:c r="C12" t="s">
        <x:v>30</x:v>
      </x:c>
      <x:c r="D12" t="s">
        <x:v>7</x:v>
      </x:c>
      <x:c r="E12">
        <x:v>21</x:v>
      </x:c>
      <x:c r="F12" t="str">
        <x:f t="shared" si="0"/>
        <x:v>Mas de 20 aprobadas</x:v>
      </x:c>
      <x:c r="G12" t="s">
        <x:v>8</x:v>
      </x:c>
      <x:c r="I12" s="2" t="s">
        <x:v>29</x:v>
      </x:c>
      <x:c r="J12" s="9" t="n">
        <x:f>SUMIF($D$2:$D$80,I12,$E$2:$E$80)</x:f>
        <x:v>193</x:v>
      </x:c>
    </x:row>
    <x:row r="13">
      <x:c r="A13" s="3">
        <x:v>43865</x:v>
      </x:c>
      <x:c r="B13" s="8" t="n">
        <x:f>YEAR(A13)</x:f>
        <x:v>2020</x:v>
      </x:c>
      <x:c r="C13" t="s">
        <x:v>31</x:v>
      </x:c>
      <x:c r="D13" t="s">
        <x:v>11</x:v>
      </x:c>
      <x:c r="E13">
        <x:v>10</x:v>
      </x:c>
      <x:c r="F13" t="str">
        <x:f t="shared" si="0"/>
        <x:v>Menos</x:v>
      </x:c>
      <x:c r="G13" t="s">
        <x:v>12</x:v>
      </x:c>
      <x:c r="I13" s="2" t="s">
        <x:v>21</x:v>
      </x:c>
      <x:c r="J13" s="9" t="n">
        <x:f>SUMIF($D$2:$D$80,I13,$E$2:$E$80)</x:f>
        <x:v>218</x:v>
      </x:c>
    </x:row>
    <x:row r="14">
      <x:c r="A14" s="3">
        <x:v>43789</x:v>
      </x:c>
      <x:c r="B14" s="8" t="n">
        <x:f>YEAR(A14)</x:f>
        <x:v>2019</x:v>
      </x:c>
      <x:c r="C14" t="s">
        <x:v>32</x:v>
      </x:c>
      <x:c r="D14" t="s">
        <x:v>11</x:v>
      </x:c>
      <x:c r="E14">
        <x:v>27</x:v>
      </x:c>
      <x:c r="F14" t="str">
        <x:f t="shared" si="0"/>
        <x:v>Mas de 20 aprobadas</x:v>
      </x:c>
      <x:c r="G14" t="s">
        <x:v>12</x:v>
      </x:c>
      <x:c r="I14" s="2" t="s">
        <x:v>11</x:v>
      </x:c>
      <x:c r="J14" s="9" t="n">
        <x:f>SUMIF($D$2:$D$80,I14,$E$2:$E$80)</x:f>
        <x:v>197</x:v>
      </x:c>
    </x:row>
    <x:row r="15">
      <x:c r="A15" s="3">
        <x:v>41619</x:v>
      </x:c>
      <x:c r="B15" s="8" t="n">
        <x:f>YEAR(A15)</x:f>
        <x:v>2013</x:v>
      </x:c>
      <x:c r="C15" t="s">
        <x:v>33</x:v>
      </x:c>
      <x:c r="D15" t="s">
        <x:v>29</x:v>
      </x:c>
      <x:c r="E15">
        <x:v>8</x:v>
      </x:c>
      <x:c r="F15" t="str">
        <x:f t="shared" si="0"/>
        <x:v>Menos</x:v>
      </x:c>
      <x:c r="G15" t="s">
        <x:v>8</x:v>
      </x:c>
      <x:c r="I15" s="2" t="s">
        <x:v>24</x:v>
      </x:c>
      <x:c r="J15" s="9" t="n">
        <x:f>SUMIF($D$2:$D$80,I15,$E$2:$E$80)</x:f>
        <x:v>269</x:v>
      </x:c>
    </x:row>
    <x:row r="16">
      <x:c r="A16" s="3">
        <x:v>41674</x:v>
      </x:c>
      <x:c r="B16" s="8" t="n">
        <x:f>YEAR(A16)</x:f>
        <x:v>2014</x:v>
      </x:c>
      <x:c r="C16" t="s">
        <x:v>34</x:v>
      </x:c>
      <x:c r="D16" t="s">
        <x:v>7</x:v>
      </x:c>
      <x:c r="E16">
        <x:v>26</x:v>
      </x:c>
      <x:c r="F16" t="str">
        <x:f t="shared" si="0"/>
        <x:v>Mas de 20 aprobadas</x:v>
      </x:c>
      <x:c r="G16" t="s">
        <x:v>8</x:v>
      </x:c>
    </x:row>
    <x:row r="17">
      <x:c r="A17" s="3">
        <x:v>43055</x:v>
      </x:c>
      <x:c r="B17" s="8" t="n">
        <x:f>YEAR(A17)</x:f>
        <x:v>2017</x:v>
      </x:c>
      <x:c r="C17" t="s">
        <x:v>35</x:v>
      </x:c>
      <x:c r="D17" t="s">
        <x:v>24</x:v>
      </x:c>
      <x:c r="E17">
        <x:v>7</x:v>
      </x:c>
      <x:c r="F17" t="str">
        <x:f t="shared" si="0"/>
        <x:v>Menos</x:v>
      </x:c>
      <x:c r="G17" t="s">
        <x:v>12</x:v>
      </x:c>
    </x:row>
    <x:row r="18">
      <x:c r="A18" s="3">
        <x:v>42208</x:v>
      </x:c>
      <x:c r="B18" s="8" t="n">
        <x:f>YEAR(A18)</x:f>
        <x:v>2015</x:v>
      </x:c>
      <x:c r="C18" t="s">
        <x:v>36</x:v>
      </x:c>
      <x:c r="D18" t="s">
        <x:v>29</x:v>
      </x:c>
      <x:c r="E18">
        <x:v>24</x:v>
      </x:c>
      <x:c r="F18" t="str">
        <x:f t="shared" si="0"/>
        <x:v>Mas de 20 aprobadas</x:v>
      </x:c>
      <x:c r="G18" t="s">
        <x:v>8</x:v>
      </x:c>
      <x:c r="I18" s="7" t="s">
        <x:v>37</x:v>
      </x:c>
      <x:c r="J18" s="7"/>
    </x:row>
    <x:row r="19">
      <x:c r="A19" s="3">
        <x:v>41526</x:v>
      </x:c>
      <x:c r="B19" s="8" t="n">
        <x:f>YEAR(A19)</x:f>
        <x:v>2013</x:v>
      </x:c>
      <x:c r="C19" t="s">
        <x:v>38</x:v>
      </x:c>
      <x:c r="D19" t="s">
        <x:v>21</x:v>
      </x:c>
      <x:c r="E19">
        <x:v>12</x:v>
      </x:c>
      <x:c r="F19" t="str">
        <x:f t="shared" si="0"/>
        <x:v>Menos</x:v>
      </x:c>
      <x:c r="G19" t="s">
        <x:v>8</x:v>
      </x:c>
      <x:c r="I19" s="2" t="s">
        <x:v>8</x:v>
      </x:c>
      <x:c r="J19" s="9" t="n">
        <x:f>COUNTIF($G$2:$G$80,I19)</x:f>
        <x:v>48</x:v>
      </x:c>
    </x:row>
    <x:row r="20">
      <x:c r="A20" s="3">
        <x:v>42171</x:v>
      </x:c>
      <x:c r="B20" s="8" t="n">
        <x:f>YEAR(A20)</x:f>
        <x:v>2015</x:v>
      </x:c>
      <x:c r="C20" t="s">
        <x:v>39</x:v>
      </x:c>
      <x:c r="D20" t="s">
        <x:v>24</x:v>
      </x:c>
      <x:c r="E20">
        <x:v>17</x:v>
      </x:c>
      <x:c r="F20" t="str">
        <x:f t="shared" si="0"/>
        <x:v>Menos</x:v>
      </x:c>
      <x:c r="G20" t="s">
        <x:v>12</x:v>
      </x:c>
      <x:c r="I20" s="2" t="s">
        <x:v>12</x:v>
      </x:c>
      <x:c r="J20" s="9" t="n">
        <x:f>COUNTIF($G$2:$G$80,I20)</x:f>
        <x:v>31</x:v>
      </x:c>
    </x:row>
    <x:row r="21">
      <x:c r="A21" s="3">
        <x:v>43818</x:v>
      </x:c>
      <x:c r="B21" s="8" t="n">
        <x:f>YEAR(A21)</x:f>
        <x:v>2019</x:v>
      </x:c>
      <x:c r="C21" t="s">
        <x:v>40</x:v>
      </x:c>
      <x:c r="D21" t="s">
        <x:v>7</x:v>
      </x:c>
      <x:c r="E21">
        <x:v>26</x:v>
      </x:c>
      <x:c r="F21" t="str">
        <x:f t="shared" si="0"/>
        <x:v>Mas de 20 aprobadas</x:v>
      </x:c>
      <x:c r="G21" t="s">
        <x:v>8</x:v>
      </x:c>
    </x:row>
    <x:row r="22">
      <x:c r="A22" s="3">
        <x:v>42822</x:v>
      </x:c>
      <x:c r="B22" s="8" t="n">
        <x:f>YEAR(A22)</x:f>
        <x:v>2017</x:v>
      </x:c>
      <x:c r="C22" t="s">
        <x:v>41</x:v>
      </x:c>
      <x:c r="D22" t="s">
        <x:v>29</x:v>
      </x:c>
      <x:c r="E22">
        <x:v>13</x:v>
      </x:c>
      <x:c r="F22" t="str">
        <x:f t="shared" si="0"/>
        <x:v>Menos</x:v>
      </x:c>
      <x:c r="G22" t="s">
        <x:v>8</x:v>
      </x:c>
    </x:row>
    <x:row r="23">
      <x:c r="A23" s="3">
        <x:v>42331</x:v>
      </x:c>
      <x:c r="B23" s="8" t="n">
        <x:f>YEAR(A23)</x:f>
        <x:v>2015</x:v>
      </x:c>
      <x:c r="C23" t="s">
        <x:v>42</x:v>
      </x:c>
      <x:c r="D23" t="s">
        <x:v>11</x:v>
      </x:c>
      <x:c r="E23">
        <x:v>25</x:v>
      </x:c>
      <x:c r="F23" t="str">
        <x:f t="shared" si="0"/>
        <x:v>Mas de 20 aprobadas</x:v>
      </x:c>
      <x:c r="G23" t="s">
        <x:v>12</x:v>
      </x:c>
    </x:row>
    <x:row r="24">
      <x:c r="A24" s="3">
        <x:v>41649</x:v>
      </x:c>
      <x:c r="B24" s="8" t="n">
        <x:f>YEAR(A24)</x:f>
        <x:v>2014</x:v>
      </x:c>
      <x:c r="C24" t="s">
        <x:v>43</x:v>
      </x:c>
      <x:c r="D24" t="s">
        <x:v>21</x:v>
      </x:c>
      <x:c r="E24">
        <x:v>10</x:v>
      </x:c>
      <x:c r="F24" t="str">
        <x:f t="shared" si="0"/>
        <x:v>Menos</x:v>
      </x:c>
      <x:c r="G24" t="s">
        <x:v>8</x:v>
      </x:c>
    </x:row>
    <x:row r="25">
      <x:c r="A25" s="3">
        <x:v>41550</x:v>
      </x:c>
      <x:c r="B25" s="8" t="n">
        <x:f>YEAR(A25)</x:f>
        <x:v>2013</x:v>
      </x:c>
      <x:c r="C25" t="s">
        <x:v>44</x:v>
      </x:c>
      <x:c r="D25" t="s">
        <x:v>24</x:v>
      </x:c>
      <x:c r="E25">
        <x:v>23</x:v>
      </x:c>
      <x:c r="F25" t="str">
        <x:f t="shared" si="0"/>
        <x:v>Mas de 20 aprobadas</x:v>
      </x:c>
      <x:c r="G25" t="s">
        <x:v>12</x:v>
      </x:c>
    </x:row>
    <x:row r="26">
      <x:c r="A26" s="3">
        <x:v>42724</x:v>
      </x:c>
      <x:c r="B26" s="8" t="n">
        <x:f>YEAR(A26)</x:f>
        <x:v>2016</x:v>
      </x:c>
      <x:c r="C26" t="s">
        <x:v>45</x:v>
      </x:c>
      <x:c r="D26" t="s">
        <x:v>29</x:v>
      </x:c>
      <x:c r="E26">
        <x:v>12</x:v>
      </x:c>
      <x:c r="F26" t="str">
        <x:f t="shared" si="0"/>
        <x:v>Menos</x:v>
      </x:c>
      <x:c r="G26" t="s">
        <x:v>8</x:v>
      </x:c>
    </x:row>
    <x:row r="27">
      <x:c r="A27" s="3">
        <x:v>43332</x:v>
      </x:c>
      <x:c r="B27" s="8" t="n">
        <x:f>YEAR(A27)</x:f>
        <x:v>2018</x:v>
      </x:c>
      <x:c r="C27" t="s">
        <x:v>46</x:v>
      </x:c>
      <x:c r="D27" t="s">
        <x:v>24</x:v>
      </x:c>
      <x:c r="E27">
        <x:v>10</x:v>
      </x:c>
      <x:c r="F27" t="str">
        <x:f t="shared" si="0"/>
        <x:v>Menos</x:v>
      </x:c>
      <x:c r="G27" t="s">
        <x:v>12</x:v>
      </x:c>
    </x:row>
    <x:row r="28">
      <x:c r="A28" s="3">
        <x:v>41628</x:v>
      </x:c>
      <x:c r="B28" s="8" t="n">
        <x:f>YEAR(A28)</x:f>
        <x:v>2013</x:v>
      </x:c>
      <x:c r="C28" t="s">
        <x:v>47</x:v>
      </x:c>
      <x:c r="D28" t="s">
        <x:v>29</x:v>
      </x:c>
      <x:c r="E28">
        <x:v>4</x:v>
      </x:c>
      <x:c r="F28" t="str">
        <x:f t="shared" si="0"/>
        <x:v>Menos</x:v>
      </x:c>
      <x:c r="G28" t="s">
        <x:v>8</x:v>
      </x:c>
    </x:row>
    <x:row r="29">
      <x:c r="A29" s="3">
        <x:v>41192</x:v>
      </x:c>
      <x:c r="B29" s="8" t="n">
        <x:f>YEAR(A29)</x:f>
        <x:v>2012</x:v>
      </x:c>
      <x:c r="C29" t="s">
        <x:v>48</x:v>
      </x:c>
      <x:c r="D29" t="s">
        <x:v>29</x:v>
      </x:c>
      <x:c r="E29">
        <x:v>23</x:v>
      </x:c>
      <x:c r="F29" t="str">
        <x:f t="shared" si="0"/>
        <x:v>Mas de 20 aprobadas</x:v>
      </x:c>
      <x:c r="G29" t="s">
        <x:v>8</x:v>
      </x:c>
    </x:row>
    <x:row r="30">
      <x:c r="A30" s="3">
        <x:v>42536</x:v>
      </x:c>
      <x:c r="B30" s="8" t="n">
        <x:f>YEAR(A30)</x:f>
        <x:v>2016</x:v>
      </x:c>
      <x:c r="C30" t="s">
        <x:v>49</x:v>
      </x:c>
      <x:c r="D30" t="s">
        <x:v>11</x:v>
      </x:c>
      <x:c r="E30">
        <x:v>9</x:v>
      </x:c>
      <x:c r="F30" t="str">
        <x:f t="shared" si="0"/>
        <x:v>Menos</x:v>
      </x:c>
      <x:c r="G30" t="s">
        <x:v>12</x:v>
      </x:c>
    </x:row>
    <x:row r="31">
      <x:c r="A31" s="3">
        <x:v>41506</x:v>
      </x:c>
      <x:c r="B31" s="8" t="n">
        <x:f>YEAR(A31)</x:f>
        <x:v>2013</x:v>
      </x:c>
      <x:c r="C31" t="s">
        <x:v>50</x:v>
      </x:c>
      <x:c r="D31" t="s">
        <x:v>24</x:v>
      </x:c>
      <x:c r="E31">
        <x:v>8</x:v>
      </x:c>
      <x:c r="F31" t="str">
        <x:f t="shared" si="0"/>
        <x:v>Menos</x:v>
      </x:c>
      <x:c r="G31" t="s">
        <x:v>12</x:v>
      </x:c>
    </x:row>
    <x:row r="32">
      <x:c r="A32" s="3">
        <x:v>43158</x:v>
      </x:c>
      <x:c r="B32" s="8" t="n">
        <x:f>YEAR(A32)</x:f>
        <x:v>2018</x:v>
      </x:c>
      <x:c r="C32" t="s">
        <x:v>51</x:v>
      </x:c>
      <x:c r="D32" t="s">
        <x:v>21</x:v>
      </x:c>
      <x:c r="E32">
        <x:v>8</x:v>
      </x:c>
      <x:c r="F32" t="str">
        <x:f t="shared" si="0"/>
        <x:v>Menos</x:v>
      </x:c>
      <x:c r="G32" t="s">
        <x:v>8</x:v>
      </x:c>
    </x:row>
    <x:row r="33">
      <x:c r="A33" s="3">
        <x:v>41795</x:v>
      </x:c>
      <x:c r="B33" s="8" t="n">
        <x:f>YEAR(A33)</x:f>
        <x:v>2014</x:v>
      </x:c>
      <x:c r="C33" t="s">
        <x:v>52</x:v>
      </x:c>
      <x:c r="D33" t="s">
        <x:v>11</x:v>
      </x:c>
      <x:c r="E33">
        <x:v>4</x:v>
      </x:c>
      <x:c r="F33" t="str">
        <x:f t="shared" si="0"/>
        <x:v>Menos</x:v>
      </x:c>
      <x:c r="G33" t="s">
        <x:v>12</x:v>
      </x:c>
    </x:row>
    <x:row r="34">
      <x:c r="A34" s="3">
        <x:v>41620</x:v>
      </x:c>
      <x:c r="B34" s="8" t="n">
        <x:f>YEAR(A34)</x:f>
        <x:v>2013</x:v>
      </x:c>
      <x:c r="C34" t="s">
        <x:v>53</x:v>
      </x:c>
      <x:c r="D34" t="s">
        <x:v>21</x:v>
      </x:c>
      <x:c r="E34">
        <x:v>26</x:v>
      </x:c>
      <x:c r="F34" t="str">
        <x:f t="shared" si="0"/>
        <x:v>Mas de 20 aprobadas</x:v>
      </x:c>
      <x:c r="G34" t="s">
        <x:v>8</x:v>
      </x:c>
    </x:row>
    <x:row r="35">
      <x:c r="A35" s="3">
        <x:v>41074</x:v>
      </x:c>
      <x:c r="B35" s="8" t="n">
        <x:f>YEAR(A35)</x:f>
        <x:v>2012</x:v>
      </x:c>
      <x:c r="C35" t="s">
        <x:v>54</x:v>
      </x:c>
      <x:c r="D35" t="s">
        <x:v>21</x:v>
      </x:c>
      <x:c r="E35">
        <x:v>13</x:v>
      </x:c>
      <x:c r="F35" t="str">
        <x:f t="shared" si="0"/>
        <x:v>Menos</x:v>
      </x:c>
      <x:c r="G35" t="s">
        <x:v>8</x:v>
      </x:c>
    </x:row>
    <x:row r="36">
      <x:c r="A36" s="3">
        <x:v>41585</x:v>
      </x:c>
      <x:c r="B36" s="8" t="n">
        <x:f>YEAR(A36)</x:f>
        <x:v>2013</x:v>
      </x:c>
      <x:c r="C36" t="s">
        <x:v>55</x:v>
      </x:c>
      <x:c r="D36" t="s">
        <x:v>29</x:v>
      </x:c>
      <x:c r="E36">
        <x:v>8</x:v>
      </x:c>
      <x:c r="F36" t="str">
        <x:f t="shared" si="0"/>
        <x:v>Menos</x:v>
      </x:c>
      <x:c r="G36" t="s">
        <x:v>8</x:v>
      </x:c>
    </x:row>
    <x:row r="37">
      <x:c r="A37" s="3">
        <x:v>43437</x:v>
      </x:c>
      <x:c r="B37" s="8" t="n">
        <x:f>YEAR(A37)</x:f>
        <x:v>2018</x:v>
      </x:c>
      <x:c r="C37" t="s">
        <x:v>56</x:v>
      </x:c>
      <x:c r="D37" t="s">
        <x:v>11</x:v>
      </x:c>
      <x:c r="E37">
        <x:v>7</x:v>
      </x:c>
      <x:c r="F37" t="str">
        <x:f t="shared" si="0"/>
        <x:v>Menos</x:v>
      </x:c>
      <x:c r="G37" t="s">
        <x:v>12</x:v>
      </x:c>
    </x:row>
    <x:row r="38">
      <x:c r="A38" s="3">
        <x:v>42286</x:v>
      </x:c>
      <x:c r="B38" s="8" t="n">
        <x:f>YEAR(A38)</x:f>
        <x:v>2015</x:v>
      </x:c>
      <x:c r="C38" t="s">
        <x:v>57</x:v>
      </x:c>
      <x:c r="D38" t="s">
        <x:v>24</x:v>
      </x:c>
      <x:c r="E38">
        <x:v>15</x:v>
      </x:c>
      <x:c r="F38" t="str">
        <x:f t="shared" si="0"/>
        <x:v>Menos</x:v>
      </x:c>
      <x:c r="G38" t="s">
        <x:v>12</x:v>
      </x:c>
    </x:row>
    <x:row r="39">
      <x:c r="A39" s="3">
        <x:v>43041</x:v>
      </x:c>
      <x:c r="B39" s="8" t="n">
        <x:f>YEAR(A39)</x:f>
        <x:v>2017</x:v>
      </x:c>
      <x:c r="C39" t="s">
        <x:v>58</x:v>
      </x:c>
      <x:c r="D39" t="s">
        <x:v>11</x:v>
      </x:c>
      <x:c r="E39">
        <x:v>4</x:v>
      </x:c>
      <x:c r="F39" t="str">
        <x:f t="shared" si="0"/>
        <x:v>Menos</x:v>
      </x:c>
      <x:c r="G39" t="s">
        <x:v>12</x:v>
      </x:c>
    </x:row>
    <x:row r="40">
      <x:c r="A40" s="3">
        <x:v>42517</x:v>
      </x:c>
      <x:c r="B40" s="8" t="n">
        <x:f>YEAR(A40)</x:f>
        <x:v>2016</x:v>
      </x:c>
      <x:c r="C40" t="s">
        <x:v>59</x:v>
      </x:c>
      <x:c r="D40" t="s">
        <x:v>24</x:v>
      </x:c>
      <x:c r="E40">
        <x:v>28</x:v>
      </x:c>
      <x:c r="F40" t="str">
        <x:f t="shared" si="0"/>
        <x:v>Mas de 20 aprobadas</x:v>
      </x:c>
      <x:c r="G40" t="s">
        <x:v>12</x:v>
      </x:c>
    </x:row>
    <x:row r="41">
      <x:c r="A41" s="3">
        <x:v>40788</x:v>
      </x:c>
      <x:c r="B41" s="8" t="n">
        <x:f>YEAR(A41)</x:f>
        <x:v>2011</x:v>
      </x:c>
      <x:c r="C41" t="s">
        <x:v>60</x:v>
      </x:c>
      <x:c r="D41" t="s">
        <x:v>7</x:v>
      </x:c>
      <x:c r="E41">
        <x:v>16</x:v>
      </x:c>
      <x:c r="F41" t="str">
        <x:f t="shared" si="0"/>
        <x:v>Menos</x:v>
      </x:c>
      <x:c r="G41" t="s">
        <x:v>8</x:v>
      </x:c>
    </x:row>
    <x:row r="42">
      <x:c r="A42" s="3">
        <x:v>40613</x:v>
      </x:c>
      <x:c r="B42" s="8" t="n">
        <x:f>YEAR(A42)</x:f>
        <x:v>2011</x:v>
      </x:c>
      <x:c r="C42" t="s">
        <x:v>61</x:v>
      </x:c>
      <x:c r="D42" t="s">
        <x:v>7</x:v>
      </x:c>
      <x:c r="E42">
        <x:v>21</x:v>
      </x:c>
      <x:c r="F42" t="str">
        <x:f t="shared" si="0"/>
        <x:v>Mas de 20 aprobadas</x:v>
      </x:c>
      <x:c r="G42" t="s">
        <x:v>8</x:v>
      </x:c>
    </x:row>
    <x:row r="43">
      <x:c r="A43" s="3">
        <x:v>43525</x:v>
      </x:c>
      <x:c r="B43" s="8" t="n">
        <x:f>YEAR(A43)</x:f>
        <x:v>2019</x:v>
      </x:c>
      <x:c r="C43" t="s">
        <x:v>62</x:v>
      </x:c>
      <x:c r="D43" t="s">
        <x:v>24</x:v>
      </x:c>
      <x:c r="E43">
        <x:v>7</x:v>
      </x:c>
      <x:c r="F43" t="str">
        <x:f t="shared" si="0"/>
        <x:v>Menos</x:v>
      </x:c>
      <x:c r="G43" t="s">
        <x:v>12</x:v>
      </x:c>
    </x:row>
    <x:row r="44">
      <x:c r="A44" s="3">
        <x:v>43896</x:v>
      </x:c>
      <x:c r="B44" s="8" t="n">
        <x:f>YEAR(A44)</x:f>
        <x:v>2020</x:v>
      </x:c>
      <x:c r="C44" t="s">
        <x:v>63</x:v>
      </x:c>
      <x:c r="D44" t="s">
        <x:v>7</x:v>
      </x:c>
      <x:c r="E44">
        <x:v>28</x:v>
      </x:c>
      <x:c r="F44" t="str">
        <x:f t="shared" si="0"/>
        <x:v>Mas de 20 aprobadas</x:v>
      </x:c>
      <x:c r="G44" t="s">
        <x:v>8</x:v>
      </x:c>
    </x:row>
    <x:row r="45">
      <x:c r="A45" s="3">
        <x:v>43628</x:v>
      </x:c>
      <x:c r="B45" s="8" t="n">
        <x:f>YEAR(A45)</x:f>
        <x:v>2019</x:v>
      </x:c>
      <x:c r="C45" t="s">
        <x:v>64</x:v>
      </x:c>
      <x:c r="D45" t="s">
        <x:v>7</x:v>
      </x:c>
      <x:c r="E45">
        <x:v>21</x:v>
      </x:c>
      <x:c r="F45" t="str">
        <x:f t="shared" si="0"/>
        <x:v>Mas de 20 aprobadas</x:v>
      </x:c>
      <x:c r="G45" t="s">
        <x:v>8</x:v>
      </x:c>
    </x:row>
    <x:row r="46">
      <x:c r="A46" s="3">
        <x:v>40984</x:v>
      </x:c>
      <x:c r="B46" s="8" t="n">
        <x:f>YEAR(A46)</x:f>
        <x:v>2012</x:v>
      </x:c>
      <x:c r="C46" t="s">
        <x:v>65</x:v>
      </x:c>
      <x:c r="D46" t="s">
        <x:v>24</x:v>
      </x:c>
      <x:c r="E46">
        <x:v>10</x:v>
      </x:c>
      <x:c r="F46" t="str">
        <x:f t="shared" si="0"/>
        <x:v>Menos</x:v>
      </x:c>
      <x:c r="G46" t="s">
        <x:v>12</x:v>
      </x:c>
    </x:row>
    <x:row r="47">
      <x:c r="A47" s="3">
        <x:v>42269</x:v>
      </x:c>
      <x:c r="B47" s="8" t="n">
        <x:f>YEAR(A47)</x:f>
        <x:v>2015</x:v>
      </x:c>
      <x:c r="C47" t="s">
        <x:v>66</x:v>
      </x:c>
      <x:c r="D47" t="s">
        <x:v>7</x:v>
      </x:c>
      <x:c r="E47">
        <x:v>23</x:v>
      </x:c>
      <x:c r="F47" t="str">
        <x:f t="shared" si="0"/>
        <x:v>Mas de 20 aprobadas</x:v>
      </x:c>
      <x:c r="G47" t="s">
        <x:v>8</x:v>
      </x:c>
    </x:row>
    <x:row r="48">
      <x:c r="A48" s="3">
        <x:v>43997</x:v>
      </x:c>
      <x:c r="B48" s="8" t="n">
        <x:f>YEAR(A48)</x:f>
        <x:v>2020</x:v>
      </x:c>
      <x:c r="C48" t="s">
        <x:v>67</x:v>
      </x:c>
      <x:c r="D48" t="s">
        <x:v>21</x:v>
      </x:c>
      <x:c r="E48">
        <x:v>14</x:v>
      </x:c>
      <x:c r="F48" t="str">
        <x:f t="shared" si="0"/>
        <x:v>Menos</x:v>
      </x:c>
      <x:c r="G48" t="s">
        <x:v>8</x:v>
      </x:c>
    </x:row>
    <x:row r="49">
      <x:c r="A49" s="3">
        <x:v>43871</x:v>
      </x:c>
      <x:c r="B49" s="8" t="n">
        <x:f>YEAR(A49)</x:f>
        <x:v>2020</x:v>
      </x:c>
      <x:c r="C49" t="s">
        <x:v>68</x:v>
      </x:c>
      <x:c r="D49" t="s">
        <x:v>7</x:v>
      </x:c>
      <x:c r="E49">
        <x:v>14</x:v>
      </x:c>
      <x:c r="F49" t="str">
        <x:f t="shared" si="0"/>
        <x:v>Menos</x:v>
      </x:c>
      <x:c r="G49" t="s">
        <x:v>8</x:v>
      </x:c>
    </x:row>
    <x:row r="50">
      <x:c r="A50" s="3">
        <x:v>40603</x:v>
      </x:c>
      <x:c r="B50" s="8" t="n">
        <x:f>YEAR(A50)</x:f>
        <x:v>2011</x:v>
      </x:c>
      <x:c r="C50" t="s">
        <x:v>69</x:v>
      </x:c>
      <x:c r="D50" t="s">
        <x:v>24</x:v>
      </x:c>
      <x:c r="E50">
        <x:v>21</x:v>
      </x:c>
      <x:c r="F50" t="str">
        <x:f t="shared" si="0"/>
        <x:v>Mas de 20 aprobadas</x:v>
      </x:c>
      <x:c r="G50" t="s">
        <x:v>12</x:v>
      </x:c>
    </x:row>
    <x:row r="51">
      <x:c r="A51" s="3">
        <x:v>41176</x:v>
      </x:c>
      <x:c r="B51" s="8" t="n">
        <x:f>YEAR(A51)</x:f>
        <x:v>2012</x:v>
      </x:c>
      <x:c r="C51" t="s">
        <x:v>70</x:v>
      </x:c>
      <x:c r="D51" t="s">
        <x:v>11</x:v>
      </x:c>
      <x:c r="E51">
        <x:v>18</x:v>
      </x:c>
      <x:c r="F51" t="str">
        <x:f t="shared" si="0"/>
        <x:v>Menos</x:v>
      </x:c>
      <x:c r="G51" t="s">
        <x:v>12</x:v>
      </x:c>
    </x:row>
    <x:row r="52">
      <x:c r="A52" s="3">
        <x:v>42774</x:v>
      </x:c>
      <x:c r="B52" s="8" t="n">
        <x:f>YEAR(A52)</x:f>
        <x:v>2017</x:v>
      </x:c>
      <x:c r="C52" t="s">
        <x:v>71</x:v>
      </x:c>
      <x:c r="D52" t="s">
        <x:v>29</x:v>
      </x:c>
      <x:c r="E52">
        <x:v>8</x:v>
      </x:c>
      <x:c r="F52" t="str">
        <x:f t="shared" si="0"/>
        <x:v>Menos</x:v>
      </x:c>
      <x:c r="G52" t="s">
        <x:v>8</x:v>
      </x:c>
    </x:row>
    <x:row r="53">
      <x:c r="A53" s="3">
        <x:v>42835</x:v>
      </x:c>
      <x:c r="B53" s="8" t="n">
        <x:f>YEAR(A53)</x:f>
        <x:v>2017</x:v>
      </x:c>
      <x:c r="C53" t="s">
        <x:v>72</x:v>
      </x:c>
      <x:c r="D53" t="s">
        <x:v>21</x:v>
      </x:c>
      <x:c r="E53">
        <x:v>8</x:v>
      </x:c>
      <x:c r="F53" t="str">
        <x:f t="shared" si="0"/>
        <x:v>Menos</x:v>
      </x:c>
      <x:c r="G53" t="s">
        <x:v>8</x:v>
      </x:c>
    </x:row>
    <x:row r="54">
      <x:c r="A54" s="3">
        <x:v>43803</x:v>
      </x:c>
      <x:c r="B54" s="8" t="n">
        <x:f>YEAR(A54)</x:f>
        <x:v>2019</x:v>
      </x:c>
      <x:c r="C54" t="s">
        <x:v>73</x:v>
      </x:c>
      <x:c r="D54" t="s">
        <x:v>21</x:v>
      </x:c>
      <x:c r="E54">
        <x:v>17</x:v>
      </x:c>
      <x:c r="F54" t="str">
        <x:f t="shared" si="0"/>
        <x:v>Menos</x:v>
      </x:c>
      <x:c r="G54" t="s">
        <x:v>8</x:v>
      </x:c>
    </x:row>
    <x:row r="55">
      <x:c r="A55" s="3">
        <x:v>42440</x:v>
      </x:c>
      <x:c r="B55" s="8" t="n">
        <x:f>YEAR(A55)</x:f>
        <x:v>2016</x:v>
      </x:c>
      <x:c r="C55" t="s">
        <x:v>74</x:v>
      </x:c>
      <x:c r="D55" t="s">
        <x:v>29</x:v>
      </x:c>
      <x:c r="E55">
        <x:v>10</x:v>
      </x:c>
      <x:c r="F55" t="str">
        <x:f t="shared" si="0"/>
        <x:v>Menos</x:v>
      </x:c>
      <x:c r="G55" t="s">
        <x:v>8</x:v>
      </x:c>
    </x:row>
    <x:row r="56">
      <x:c r="A56" s="3">
        <x:v>43201</x:v>
      </x:c>
      <x:c r="B56" s="8" t="n">
        <x:f>YEAR(A56)</x:f>
        <x:v>2018</x:v>
      </x:c>
      <x:c r="C56" t="s">
        <x:v>75</x:v>
      </x:c>
      <x:c r="D56" t="s">
        <x:v>21</x:v>
      </x:c>
      <x:c r="E56">
        <x:v>12</x:v>
      </x:c>
      <x:c r="F56" t="str">
        <x:f t="shared" si="0"/>
        <x:v>Menos</x:v>
      </x:c>
      <x:c r="G56" t="s">
        <x:v>8</x:v>
      </x:c>
    </x:row>
    <x:row r="57">
      <x:c r="A57" s="3">
        <x:v>43809</x:v>
      </x:c>
      <x:c r="B57" s="8" t="n">
        <x:f>YEAR(A57)</x:f>
        <x:v>2019</x:v>
      </x:c>
      <x:c r="C57" t="s">
        <x:v>76</x:v>
      </x:c>
      <x:c r="D57" t="s">
        <x:v>11</x:v>
      </x:c>
      <x:c r="E57">
        <x:v>4</x:v>
      </x:c>
      <x:c r="F57" t="str">
        <x:f t="shared" si="0"/>
        <x:v>Menos</x:v>
      </x:c>
      <x:c r="G57" t="s">
        <x:v>12</x:v>
      </x:c>
    </x:row>
    <x:row r="58">
      <x:c r="A58" s="3">
        <x:v>41536</x:v>
      </x:c>
      <x:c r="B58" s="8" t="n">
        <x:f>YEAR(A58)</x:f>
        <x:v>2013</x:v>
      </x:c>
      <x:c r="C58" t="s">
        <x:v>77</x:v>
      </x:c>
      <x:c r="D58" t="s">
        <x:v>21</x:v>
      </x:c>
      <x:c r="E58">
        <x:v>9</x:v>
      </x:c>
      <x:c r="F58" t="str">
        <x:f t="shared" si="0"/>
        <x:v>Menos</x:v>
      </x:c>
      <x:c r="G58" t="s">
        <x:v>8</x:v>
      </x:c>
    </x:row>
    <x:row r="59">
      <x:c r="A59" s="3">
        <x:v>41683</x:v>
      </x:c>
      <x:c r="B59" s="8" t="n">
        <x:f>YEAR(A59)</x:f>
        <x:v>2014</x:v>
      </x:c>
      <x:c r="C59" t="s">
        <x:v>78</x:v>
      </x:c>
      <x:c r="D59" t="s">
        <x:v>24</x:v>
      </x:c>
      <x:c r="E59">
        <x:v>16</x:v>
      </x:c>
      <x:c r="F59" t="str">
        <x:f t="shared" si="0"/>
        <x:v>Menos</x:v>
      </x:c>
      <x:c r="G59" t="s">
        <x:v>12</x:v>
      </x:c>
    </x:row>
    <x:row r="60">
      <x:c r="A60" s="3">
        <x:v>41004</x:v>
      </x:c>
      <x:c r="B60" s="8" t="n">
        <x:f>YEAR(A60)</x:f>
        <x:v>2012</x:v>
      </x:c>
      <x:c r="C60" t="s">
        <x:v>79</x:v>
      </x:c>
      <x:c r="D60" t="s">
        <x:v>24</x:v>
      </x:c>
      <x:c r="E60">
        <x:v>28</x:v>
      </x:c>
      <x:c r="F60" t="str">
        <x:f t="shared" si="0"/>
        <x:v>Mas de 20 aprobadas</x:v>
      </x:c>
      <x:c r="G60" t="s">
        <x:v>12</x:v>
      </x:c>
    </x:row>
    <x:row r="61">
      <x:c r="A61" s="3">
        <x:v>41857</x:v>
      </x:c>
      <x:c r="B61" s="8" t="n">
        <x:f>YEAR(A61)</x:f>
        <x:v>2014</x:v>
      </x:c>
      <x:c r="C61" t="s">
        <x:v>80</x:v>
      </x:c>
      <x:c r="D61" t="s">
        <x:v>7</x:v>
      </x:c>
      <x:c r="E61">
        <x:v>25</x:v>
      </x:c>
      <x:c r="F61" t="str">
        <x:f t="shared" si="0"/>
        <x:v>Mas de 20 aprobadas</x:v>
      </x:c>
      <x:c r="G61" t="s">
        <x:v>8</x:v>
      </x:c>
    </x:row>
    <x:row r="62">
      <x:c r="A62" s="3">
        <x:v>42388</x:v>
      </x:c>
      <x:c r="B62" s="8" t="n">
        <x:f>YEAR(A62)</x:f>
        <x:v>2016</x:v>
      </x:c>
      <x:c r="C62" t="s">
        <x:v>81</x:v>
      </x:c>
      <x:c r="D62" t="s">
        <x:v>24</x:v>
      </x:c>
      <x:c r="E62">
        <x:v>23</x:v>
      </x:c>
      <x:c r="F62" t="str">
        <x:f t="shared" si="0"/>
        <x:v>Mas de 20 aprobadas</x:v>
      </x:c>
      <x:c r="G62" t="s">
        <x:v>12</x:v>
      </x:c>
    </x:row>
    <x:row r="63">
      <x:c r="A63" s="3">
        <x:v>42543</x:v>
      </x:c>
      <x:c r="B63" s="8" t="n">
        <x:f>YEAR(A63)</x:f>
        <x:v>2016</x:v>
      </x:c>
      <x:c r="C63" t="s">
        <x:v>82</x:v>
      </x:c>
      <x:c r="D63" t="s">
        <x:v>21</x:v>
      </x:c>
      <x:c r="E63">
        <x:v>21</x:v>
      </x:c>
      <x:c r="F63" t="str">
        <x:f t="shared" si="0"/>
        <x:v>Mas de 20 aprobadas</x:v>
      </x:c>
      <x:c r="G63" t="s">
        <x:v>8</x:v>
      </x:c>
    </x:row>
    <x:row r="64">
      <x:c r="A64" s="3">
        <x:v>43362</x:v>
      </x:c>
      <x:c r="B64" s="8" t="n">
        <x:f>YEAR(A64)</x:f>
        <x:v>2018</x:v>
      </x:c>
      <x:c r="C64" t="s">
        <x:v>83</x:v>
      </x:c>
      <x:c r="D64" t="s">
        <x:v>29</x:v>
      </x:c>
      <x:c r="E64">
        <x:v>14</x:v>
      </x:c>
      <x:c r="F64" t="str">
        <x:f t="shared" si="0"/>
        <x:v>Menos</x:v>
      </x:c>
      <x:c r="G64" t="s">
        <x:v>8</x:v>
      </x:c>
    </x:row>
    <x:row r="65">
      <x:c r="A65" s="3">
        <x:v>42492</x:v>
      </x:c>
      <x:c r="B65" s="8" t="n">
        <x:f>YEAR(A65)</x:f>
        <x:v>2016</x:v>
      </x:c>
      <x:c r="C65" t="s">
        <x:v>84</x:v>
      </x:c>
      <x:c r="D65" t="s">
        <x:v>7</x:v>
      </x:c>
      <x:c r="E65">
        <x:v>5</x:v>
      </x:c>
      <x:c r="F65" t="str">
        <x:f t="shared" si="0"/>
        <x:v>Menos</x:v>
      </x:c>
      <x:c r="G65" t="s">
        <x:v>8</x:v>
      </x:c>
    </x:row>
    <x:row r="66">
      <x:c r="A66" s="3">
        <x:v>43075</x:v>
      </x:c>
      <x:c r="B66" s="8" t="n">
        <x:f>YEAR(A66)</x:f>
        <x:v>2017</x:v>
      </x:c>
      <x:c r="C66" t="s">
        <x:v>85</x:v>
      </x:c>
      <x:c r="D66" t="s">
        <x:v>24</x:v>
      </x:c>
      <x:c r="E66">
        <x:v>22</x:v>
      </x:c>
      <x:c r="F66" t="str">
        <x:f t="shared" si="0"/>
        <x:v>Mas de 20 aprobadas</x:v>
      </x:c>
      <x:c r="G66" t="s">
        <x:v>12</x:v>
      </x:c>
    </x:row>
    <x:row r="67">
      <x:c r="A67" s="3">
        <x:v>41703</x:v>
      </x:c>
      <x:c r="B67" s="8" t="n">
        <x:f>YEAR(A67)</x:f>
        <x:v>2014</x:v>
      </x:c>
      <x:c r="C67" t="s">
        <x:v>86</x:v>
      </x:c>
      <x:c r="D67" t="s">
        <x:v>29</x:v>
      </x:c>
      <x:c r="E67">
        <x:v>22</x:v>
      </x:c>
      <x:c r="F67" t="str">
        <x:f t="shared" ref="F67:F80" si="1">IF(E67 &gt;  20, "Mas de 20 aprobadas", "Menos")</x:f>
        <x:v>Mas de 20 aprobadas</x:v>
      </x:c>
      <x:c r="G67" t="s">
        <x:v>8</x:v>
      </x:c>
    </x:row>
    <x:row r="68">
      <x:c r="A68" s="3">
        <x:v>43213</x:v>
      </x:c>
      <x:c r="B68" s="8" t="n">
        <x:f>YEAR(A68)</x:f>
        <x:v>2018</x:v>
      </x:c>
      <x:c r="C68" t="s">
        <x:v>87</x:v>
      </x:c>
      <x:c r="D68" t="s">
        <x:v>11</x:v>
      </x:c>
      <x:c r="E68">
        <x:v>8</x:v>
      </x:c>
      <x:c r="F68" t="str">
        <x:f t="shared" si="1"/>
        <x:v>Menos</x:v>
      </x:c>
      <x:c r="G68" t="s">
        <x:v>12</x:v>
      </x:c>
    </x:row>
    <x:row r="69">
      <x:c r="A69" s="3">
        <x:v>42641</x:v>
      </x:c>
      <x:c r="B69" s="8" t="n">
        <x:f>YEAR(A69)</x:f>
        <x:v>2016</x:v>
      </x:c>
      <x:c r="C69" t="s">
        <x:v>88</x:v>
      </x:c>
      <x:c r="D69" t="s">
        <x:v>7</x:v>
      </x:c>
      <x:c r="E69">
        <x:v>13</x:v>
      </x:c>
      <x:c r="F69" t="str">
        <x:f t="shared" si="1"/>
        <x:v>Menos</x:v>
      </x:c>
      <x:c r="G69" t="s">
        <x:v>8</x:v>
      </x:c>
    </x:row>
    <x:row r="70">
      <x:c r="A70" s="3">
        <x:v>42334</x:v>
      </x:c>
      <x:c r="B70" s="8" t="n">
        <x:f>YEAR(A70)</x:f>
        <x:v>2015</x:v>
      </x:c>
      <x:c r="C70" t="s">
        <x:v>89</x:v>
      </x:c>
      <x:c r="D70" t="s">
        <x:v>29</x:v>
      </x:c>
      <x:c r="E70">
        <x:v>11</x:v>
      </x:c>
      <x:c r="F70" t="str">
        <x:f t="shared" si="1"/>
        <x:v>Menos</x:v>
      </x:c>
      <x:c r="G70" t="s">
        <x:v>8</x:v>
      </x:c>
    </x:row>
    <x:row r="71">
      <x:c r="A71" s="3">
        <x:v>41311</x:v>
      </x:c>
      <x:c r="B71" s="8" t="n">
        <x:f>YEAR(A71)</x:f>
        <x:v>2013</x:v>
      </x:c>
      <x:c r="C71" t="s">
        <x:v>90</x:v>
      </x:c>
      <x:c r="D71" t="s">
        <x:v>7</x:v>
      </x:c>
      <x:c r="E71">
        <x:v>18</x:v>
      </x:c>
      <x:c r="F71" t="str">
        <x:f t="shared" si="1"/>
        <x:v>Menos</x:v>
      </x:c>
      <x:c r="G71" t="s">
        <x:v>8</x:v>
      </x:c>
    </x:row>
    <x:row r="72">
      <x:c r="A72" s="3">
        <x:v>43822</x:v>
      </x:c>
      <x:c r="B72" s="8" t="n">
        <x:f>YEAR(A72)</x:f>
        <x:v>2019</x:v>
      </x:c>
      <x:c r="C72" t="s">
        <x:v>91</x:v>
      </x:c>
      <x:c r="D72" t="s">
        <x:v>11</x:v>
      </x:c>
      <x:c r="E72">
        <x:v>23</x:v>
      </x:c>
      <x:c r="F72" t="str">
        <x:f t="shared" si="1"/>
        <x:v>Mas de 20 aprobadas</x:v>
      </x:c>
      <x:c r="G72" t="s">
        <x:v>12</x:v>
      </x:c>
    </x:row>
    <x:row r="73">
      <x:c r="A73" s="3">
        <x:v>41655</x:v>
      </x:c>
      <x:c r="B73" s="8" t="n">
        <x:f>YEAR(A73)</x:f>
        <x:v>2014</x:v>
      </x:c>
      <x:c r="C73" t="s">
        <x:v>92</x:v>
      </x:c>
      <x:c r="D73" t="s">
        <x:v>7</x:v>
      </x:c>
      <x:c r="E73">
        <x:v>19</x:v>
      </x:c>
      <x:c r="F73" t="str">
        <x:f t="shared" si="1"/>
        <x:v>Menos</x:v>
      </x:c>
      <x:c r="G73" t="s">
        <x:v>8</x:v>
      </x:c>
    </x:row>
    <x:row r="74">
      <x:c r="A74" s="3">
        <x:v>42598</x:v>
      </x:c>
      <x:c r="B74" s="8" t="n">
        <x:f>YEAR(A74)</x:f>
        <x:v>2016</x:v>
      </x:c>
      <x:c r="C74" t="s">
        <x:v>93</x:v>
      </x:c>
      <x:c r="D74" t="s">
        <x:v>24</x:v>
      </x:c>
      <x:c r="E74">
        <x:v>9</x:v>
      </x:c>
      <x:c r="F74" t="str">
        <x:f t="shared" si="1"/>
        <x:v>Menos</x:v>
      </x:c>
      <x:c r="G74" t="s">
        <x:v>12</x:v>
      </x:c>
    </x:row>
    <x:row r="75">
      <x:c r="A75" s="3">
        <x:v>40561</x:v>
      </x:c>
      <x:c r="B75" s="8" t="n">
        <x:f>YEAR(A75)</x:f>
        <x:v>2011</x:v>
      </x:c>
      <x:c r="C75" t="s">
        <x:v>94</x:v>
      </x:c>
      <x:c r="D75" t="s">
        <x:v>7</x:v>
      </x:c>
      <x:c r="E75">
        <x:v>20</x:v>
      </x:c>
      <x:c r="F75" t="str">
        <x:f t="shared" si="1"/>
        <x:v>Menos</x:v>
      </x:c>
      <x:c r="G75" t="s">
        <x:v>8</x:v>
      </x:c>
    </x:row>
    <x:row r="76">
      <x:c r="A76" s="3">
        <x:v>42297</x:v>
      </x:c>
      <x:c r="B76" s="8" t="n">
        <x:f>YEAR(A76)</x:f>
        <x:v>2015</x:v>
      </x:c>
      <x:c r="C76" t="s">
        <x:v>95</x:v>
      </x:c>
      <x:c r="D76" t="s">
        <x:v>7</x:v>
      </x:c>
      <x:c r="E76">
        <x:v>17</x:v>
      </x:c>
      <x:c r="F76" t="str">
        <x:f t="shared" si="1"/>
        <x:v>Menos</x:v>
      </x:c>
      <x:c r="G76" t="s">
        <x:v>8</x:v>
      </x:c>
    </x:row>
    <x:row r="77">
      <x:c r="A77" s="3">
        <x:v>41087</x:v>
      </x:c>
      <x:c r="B77" s="8" t="n">
        <x:f>YEAR(A77)</x:f>
        <x:v>2012</x:v>
      </x:c>
      <x:c r="C77" t="s">
        <x:v>96</x:v>
      </x:c>
      <x:c r="D77" t="s">
        <x:v>29</x:v>
      </x:c>
      <x:c r="E77">
        <x:v>10</x:v>
      </x:c>
      <x:c r="F77" t="str">
        <x:f t="shared" si="1"/>
        <x:v>Menos</x:v>
      </x:c>
      <x:c r="G77" t="s">
        <x:v>8</x:v>
      </x:c>
    </x:row>
    <x:row r="78">
      <x:c r="A78" s="3">
        <x:v>41715</x:v>
      </x:c>
      <x:c r="B78" s="8" t="n">
        <x:f>YEAR(A78)</x:f>
        <x:v>2014</x:v>
      </x:c>
      <x:c r="C78" t="s">
        <x:v>97</x:v>
      </x:c>
      <x:c r="D78" t="s">
        <x:v>24</x:v>
      </x:c>
      <x:c r="E78">
        <x:v>10</x:v>
      </x:c>
      <x:c r="F78" t="str">
        <x:f t="shared" si="1"/>
        <x:v>Menos</x:v>
      </x:c>
      <x:c r="G78" t="s">
        <x:v>12</x:v>
      </x:c>
    </x:row>
    <x:row r="79">
      <x:c r="A79" s="3">
        <x:v>40940</x:v>
      </x:c>
      <x:c r="B79" s="8" t="n">
        <x:f>YEAR(A79)</x:f>
        <x:v>2012</x:v>
      </x:c>
      <x:c r="C79" t="s">
        <x:v>98</x:v>
      </x:c>
      <x:c r="D79" t="s">
        <x:v>21</x:v>
      </x:c>
      <x:c r="E79">
        <x:v>20</x:v>
      </x:c>
      <x:c r="F79" t="str">
        <x:f t="shared" si="1"/>
        <x:v>Menos</x:v>
      </x:c>
      <x:c r="G79" t="s">
        <x:v>8</x:v>
      </x:c>
    </x:row>
    <x:row r="80">
      <x:c r="A80" s="3">
        <x:v>41352</x:v>
      </x:c>
      <x:c r="B80" s="8" t="n">
        <x:f>YEAR(A80)</x:f>
        <x:v>2013</x:v>
      </x:c>
      <x:c r="C80" t="s">
        <x:v>99</x:v>
      </x:c>
      <x:c r="D80" t="s">
        <x:v>11</x:v>
      </x:c>
      <x:c r="E80">
        <x:v>19</x:v>
      </x:c>
      <x:c r="F80" t="str">
        <x:f t="shared" si="1"/>
        <x:v>Menos</x:v>
      </x:c>
      <x:c r="G80" t="s">
        <x:v>12</x:v>
      </x:c>
    </x:row>
  </x:sheetData>
  <x:mergeCells>
    <x:mergeCell ref="I2:J2"/>
    <x:mergeCell ref="I10:J10"/>
    <x:mergeCell ref="I18:J18"/>
  </x:mergeCells>
  <x:pageMargins left="0.7" right="0.7" top="0.75" bottom="0.75" header="0.3" footer="0.3"/>
</x:worksheet>
</file>