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c1156ef6913eb59/Escritorio/2022/Diseño Uai Ultra/Contenidos diseño Uai Ultra/C8/Excel I/"/>
    </mc:Choice>
  </mc:AlternateContent>
  <xr:revisionPtr revIDLastSave="2" documentId="8_{57918A51-D0BB-4F99-B8D1-F6840C99D9D7}" xr6:coauthVersionLast="47" xr6:coauthVersionMax="47" xr10:uidLastSave="{44D9DE3B-20E8-49EE-ADF4-40F8EEF57FF9}"/>
  <bookViews>
    <workbookView xWindow="-120" yWindow="-120" windowWidth="29040" windowHeight="15840" activeTab="2" xr2:uid="{4A6D00DA-826B-2446-8434-EC6BAFAAE7F1}"/>
  </bookViews>
  <sheets>
    <sheet name="Contenido" sheetId="1" r:id="rId1"/>
    <sheet name="Ejercicios" sheetId="2" r:id="rId2"/>
    <sheet name="Elemento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2" l="1"/>
  <c r="G16" i="2"/>
  <c r="F16" i="2"/>
  <c r="E16" i="2"/>
  <c r="C16" i="2"/>
  <c r="B16" i="2"/>
  <c r="D16" i="2"/>
  <c r="E4" i="2"/>
  <c r="A16" i="2"/>
  <c r="G12" i="2"/>
  <c r="F12" i="2"/>
  <c r="G11" i="2"/>
  <c r="G10" i="2"/>
  <c r="F11" i="2"/>
  <c r="F10" i="2"/>
  <c r="G8" i="2"/>
</calcChain>
</file>

<file path=xl/sharedStrings.xml><?xml version="1.0" encoding="utf-8"?>
<sst xmlns="http://schemas.openxmlformats.org/spreadsheetml/2006/main" count="20" uniqueCount="16">
  <si>
    <t>Curso básico de Excel</t>
  </si>
  <si>
    <t>CAPITULO DOS</t>
  </si>
  <si>
    <t>2. Sintaxis de funciones</t>
  </si>
  <si>
    <t>3. Diferencia entre funciones y fórmulas</t>
  </si>
  <si>
    <t>4. Funciones basicas de cálculo matemático</t>
  </si>
  <si>
    <t>1. Barra de formulas y paneles</t>
  </si>
  <si>
    <t>5. Inserción de objetos en la hoja</t>
  </si>
  <si>
    <t>Fecha</t>
  </si>
  <si>
    <t>Nombre</t>
  </si>
  <si>
    <t>Dirección</t>
  </si>
  <si>
    <t>Teléfono</t>
  </si>
  <si>
    <t>Funcion:</t>
  </si>
  <si>
    <t>=nombrefuncion(parametros)</t>
  </si>
  <si>
    <t>Formulas:</t>
  </si>
  <si>
    <t>=valores a operar</t>
  </si>
  <si>
    <t>simbolos + - /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</si>
</sst>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22"/>
      <color theme="0"/>
      <name val="Calibri"/>
      <family val="2"/>
      <scheme val="minor"/>
    </font>
    <font>
      <sz val="36"/>
      <color theme="0"/>
      <name val="Calibri"/>
      <family val="2"/>
      <scheme val="minor"/>
    </font>
    <font>
      <b/>
      <sz val="26"/>
      <color theme="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43" fontId="5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quotePrefix="1"/>
    <xf numFmtId="43" fontId="0" fillId="0" borderId="0" xfId="4" applyFont="1"/>
    <xf numFmtId="0" fontId="2" fillId="4" borderId="1" xfId="3" applyFont="1" applyBorder="1" applyAlignment="1">
      <alignment horizontal="left"/>
    </xf>
    <xf numFmtId="0" fontId="3" fillId="2" borderId="0" xfId="1" applyFont="1" applyAlignment="1">
      <alignment horizontal="center"/>
    </xf>
    <xf numFmtId="0" fontId="4" fillId="3" borderId="0" xfId="2" applyFont="1" applyAlignment="1">
      <alignment horizontal="center" vertical="center"/>
    </xf>
  </cellXfs>
  <cellStyles count="5">
    <cellStyle name="Énfasis1" xfId="1" builtinId="29"/>
    <cellStyle name="Énfasis2" xfId="2" builtinId="33"/>
    <cellStyle name="Énfasis3" xfId="3" builtinId="37"/>
    <cellStyle name="Millares" xfId="4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colorful1">
  <dgm:title val=""/>
  <dgm:desc val=""/>
  <dgm:catLst>
    <dgm:cat type="colorful" pri="101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/>
    <dgm:txEffectClrLst/>
  </dgm:styleLbl>
  <dgm:styleLbl name="lnNode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2">
        <a:alpha val="50000"/>
      </a:schemeClr>
      <a:schemeClr val="accent3">
        <a:alpha val="50000"/>
      </a:schemeClr>
      <a:schemeClr val="accent4">
        <a:alpha val="50000"/>
      </a:schemeClr>
      <a:schemeClr val="accent5">
        <a:alpha val="50000"/>
      </a:schemeClr>
      <a:schemeClr val="accent6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node3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node4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2">
        <a:tint val="50000"/>
      </a:schemeClr>
      <a:schemeClr val="accent3">
        <a:tint val="50000"/>
      </a:schemeClr>
      <a:schemeClr val="accent4">
        <a:tint val="50000"/>
      </a:schemeClr>
      <a:schemeClr val="accent5">
        <a:tint val="50000"/>
      </a:schemeClr>
      <a:schemeClr val="accent6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>
      <a:schemeClr val="accent1">
        <a:tint val="50000"/>
      </a:schemeClr>
      <a:schemeClr val="accent2">
        <a:tint val="2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/>
    <dgm:txEffectClrLst/>
  </dgm:styleLbl>
  <dgm:styleLbl name="f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bgSibTrans2D1">
    <dgm:fillClrLst meth="repeat">
      <a:schemeClr val="accent2"/>
      <a:schemeClr val="accent3"/>
      <a:schemeClr val="accent4"/>
      <a:schemeClr val="accent5"/>
      <a:schemeClr val="accent6"/>
    </dgm:fillClrLst>
    <dgm:linClrLst meth="cycle">
      <a:schemeClr val="lt1"/>
    </dgm:linClrLst>
    <dgm:effectClrLst/>
    <dgm:txLinClrLst/>
    <dgm:txFillClrLst meth="repeat">
      <a:schemeClr val="lt1"/>
    </dgm:txFillClrLst>
    <dgm:txEffectClrLst/>
  </dgm:styleLbl>
  <dgm:styleLbl name="sibTrans1D1">
    <dgm:fillClrLst meth="repeat">
      <a:schemeClr val="accent2"/>
      <a:schemeClr val="accent3"/>
      <a:schemeClr val="accent4"/>
      <a:schemeClr val="accent5"/>
      <a:schemeClr val="accent6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2"/>
    </dgm:fillClrLst>
    <dgm:linClrLst meth="repeat">
      <a:schemeClr val="accent2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2"/>
    </dgm:fillClrLst>
    <dgm:linClrLst meth="repeat">
      <a:schemeClr val="lt1"/>
    </dgm:linClrLst>
    <dgm:effectClrLst/>
    <dgm:txLinClrLst/>
    <dgm:txFillClrLst/>
    <dgm:txEffectClrLst/>
  </dgm:styleLbl>
  <dgm:styleLbl name="asst2">
    <dgm:fillClrLst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asst3">
    <dgm:fillClrLst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asst4">
    <dgm:fillClrLst>
      <a:schemeClr val="accent5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2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3"/>
    </dgm:fillClrLst>
    <dgm:linClrLst meth="repeat">
      <a:schemeClr val="lt1"/>
    </dgm:linClrLst>
    <dgm:effectClrLst/>
    <dgm:txLinClrLst/>
    <dgm:txFillClrLst/>
    <dgm:txEffectClrLst/>
  </dgm:styleLbl>
  <dgm:styleLbl name="parChTrans2D3">
    <dgm:fillClrLst meth="repeat">
      <a:schemeClr val="accent4"/>
    </dgm:fillClrLst>
    <dgm:linClrLst meth="repeat">
      <a:schemeClr val="lt1"/>
    </dgm:linClrLst>
    <dgm:effectClrLst/>
    <dgm:txLinClrLst/>
    <dgm:txFillClrLst/>
    <dgm:txEffectClrLst/>
  </dgm:styleLbl>
  <dgm:styleLbl name="parChTrans2D4">
    <dgm:fillClrLst meth="repeat">
      <a:schemeClr val="accent5"/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2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3">
        <a:tint val="90000"/>
      </a:schemeClr>
    </dgm:fillClrLst>
    <dgm:linClrLst meth="repeat">
      <a:schemeClr val="accent2"/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4">
        <a:tint val="70000"/>
      </a:schemeClr>
    </dgm:fillClrLst>
    <dgm:linClrLst meth="repeat">
      <a:schemeClr val="accent3"/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5">
        <a:tint val="50000"/>
      </a:schemeClr>
    </dgm:fillClrLst>
    <dgm:linClrLst meth="repeat">
      <a:schemeClr val="accent4"/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2"/>
      <a:schemeClr val="accent3"/>
      <a:schemeClr val="accent4"/>
      <a:schemeClr val="accent5"/>
      <a:schemeClr val="accent6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fillClrLst>
    <dgm:linClrLst meth="repeat">
      <a:schemeClr val="accent2">
        <a:tint val="40000"/>
        <a:alpha val="90000"/>
      </a:schemeClr>
      <a:schemeClr val="accent3">
        <a:tint val="40000"/>
        <a:alpha val="90000"/>
      </a:schemeClr>
      <a:schemeClr val="accent4">
        <a:tint val="40000"/>
        <a:alpha val="90000"/>
      </a:schemeClr>
      <a:schemeClr val="accent5">
        <a:tint val="40000"/>
        <a:alpha val="90000"/>
      </a:schemeClr>
      <a:schemeClr val="accent6">
        <a:tint val="40000"/>
        <a:alpha val="9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>
      <a:schemeClr val="accent2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>
      <a:schemeClr val="accent3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>
      <a:schemeClr val="accent4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2">
        <a:tint val="40000"/>
      </a:schemeClr>
    </dgm:fillClrLst>
    <dgm:linClrLst meth="repeat">
      <a:schemeClr val="dk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2">
        <a:shade val="90000"/>
      </a:schemeClr>
    </dgm:fillClrLst>
    <dgm:linClrLst meth="repeat">
      <a:schemeClr val="dk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2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2">
        <a:tint val="4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4B2585E2-6C20-9C48-93F8-D96349B5AFA0}" type="doc">
      <dgm:prSet loTypeId="urn:microsoft.com/office/officeart/2008/layout/NameandTitleOrganizationalChart" loCatId="" qsTypeId="urn:microsoft.com/office/officeart/2005/8/quickstyle/3d3" qsCatId="3D" csTypeId="urn:microsoft.com/office/officeart/2005/8/colors/colorful1" csCatId="colorful" phldr="1"/>
      <dgm:spPr/>
      <dgm:t>
        <a:bodyPr/>
        <a:lstStyle/>
        <a:p>
          <a:endParaRPr lang="es-MX"/>
        </a:p>
      </dgm:t>
    </dgm:pt>
    <dgm:pt modelId="{A77DAC43-7634-2648-9E73-ED71B570873B}">
      <dgm:prSet phldrT="[Texto]"/>
      <dgm:spPr/>
      <dgm:t>
        <a:bodyPr/>
        <a:lstStyle/>
        <a:p>
          <a:r>
            <a:rPr lang="es-MX"/>
            <a:t>Gerencia</a:t>
          </a:r>
        </a:p>
      </dgm:t>
    </dgm:pt>
    <dgm:pt modelId="{29764E81-E7D3-3441-88F7-A37F8DAE05FE}" type="parTrans" cxnId="{E994BA96-2C29-DE4D-B116-67491CB88564}">
      <dgm:prSet/>
      <dgm:spPr/>
      <dgm:t>
        <a:bodyPr/>
        <a:lstStyle/>
        <a:p>
          <a:endParaRPr lang="es-MX"/>
        </a:p>
      </dgm:t>
    </dgm:pt>
    <dgm:pt modelId="{00C8AE9E-7C16-A447-B3EF-BB0298906FFF}" type="sibTrans" cxnId="{E994BA96-2C29-DE4D-B116-67491CB88564}">
      <dgm:prSet/>
      <dgm:spPr/>
      <dgm:t>
        <a:bodyPr/>
        <a:lstStyle/>
        <a:p>
          <a:endParaRPr lang="es-MX"/>
        </a:p>
      </dgm:t>
    </dgm:pt>
    <dgm:pt modelId="{6CB15F8A-1558-4145-AA9F-0D1C3C57817A}" type="asst">
      <dgm:prSet phldrT="[Texto]"/>
      <dgm:spPr/>
      <dgm:t>
        <a:bodyPr/>
        <a:lstStyle/>
        <a:p>
          <a:r>
            <a:rPr lang="es-MX"/>
            <a:t>Subgerencia</a:t>
          </a:r>
        </a:p>
      </dgm:t>
    </dgm:pt>
    <dgm:pt modelId="{4D9B0710-8262-DB41-87AC-2B72AB905F9D}" type="parTrans" cxnId="{9F7C7F16-DB4C-B54F-8812-ABD93BAF662E}">
      <dgm:prSet/>
      <dgm:spPr/>
      <dgm:t>
        <a:bodyPr/>
        <a:lstStyle/>
        <a:p>
          <a:endParaRPr lang="es-MX"/>
        </a:p>
      </dgm:t>
    </dgm:pt>
    <dgm:pt modelId="{AF14B916-A6E4-2A43-A022-62ACAD15F6CB}" type="sibTrans" cxnId="{9F7C7F16-DB4C-B54F-8812-ABD93BAF662E}">
      <dgm:prSet/>
      <dgm:spPr/>
      <dgm:t>
        <a:bodyPr/>
        <a:lstStyle/>
        <a:p>
          <a:endParaRPr lang="es-MX"/>
        </a:p>
      </dgm:t>
    </dgm:pt>
    <dgm:pt modelId="{480C9F85-E1F5-B54D-BB30-4EDF7D034F70}">
      <dgm:prSet phldrT="[Texto]"/>
      <dgm:spPr/>
      <dgm:t>
        <a:bodyPr/>
        <a:lstStyle/>
        <a:p>
          <a:r>
            <a:rPr lang="es-MX"/>
            <a:t>Dirección financiera</a:t>
          </a:r>
        </a:p>
      </dgm:t>
    </dgm:pt>
    <dgm:pt modelId="{1EEF4DE9-65A8-C445-9F6F-A41C57896772}" type="parTrans" cxnId="{B4B93FE7-CE9E-1240-B810-C827D26F693D}">
      <dgm:prSet/>
      <dgm:spPr/>
      <dgm:t>
        <a:bodyPr/>
        <a:lstStyle/>
        <a:p>
          <a:endParaRPr lang="es-MX"/>
        </a:p>
      </dgm:t>
    </dgm:pt>
    <dgm:pt modelId="{43392CD2-7DD1-754B-84B3-EE641C4CAFAD}" type="sibTrans" cxnId="{B4B93FE7-CE9E-1240-B810-C827D26F693D}">
      <dgm:prSet/>
      <dgm:spPr/>
      <dgm:t>
        <a:bodyPr/>
        <a:lstStyle/>
        <a:p>
          <a:endParaRPr lang="es-MX"/>
        </a:p>
      </dgm:t>
    </dgm:pt>
    <dgm:pt modelId="{5F0D4362-B1A0-3C4D-9058-6127602ADA31}">
      <dgm:prSet phldrT="[Texto]"/>
      <dgm:spPr/>
      <dgm:t>
        <a:bodyPr/>
        <a:lstStyle/>
        <a:p>
          <a:r>
            <a:rPr lang="es-MX"/>
            <a:t>Dirección Adm</a:t>
          </a:r>
        </a:p>
      </dgm:t>
    </dgm:pt>
    <dgm:pt modelId="{888930DB-9EA8-1A47-8A2C-9B2EA29C14A2}" type="parTrans" cxnId="{E7A4F3D1-7794-D84C-9307-6DA0F86CDDAB}">
      <dgm:prSet/>
      <dgm:spPr/>
      <dgm:t>
        <a:bodyPr/>
        <a:lstStyle/>
        <a:p>
          <a:endParaRPr lang="es-MX"/>
        </a:p>
      </dgm:t>
    </dgm:pt>
    <dgm:pt modelId="{AC342FE4-6469-6E44-B0CA-65A572EA0CBC}" type="sibTrans" cxnId="{E7A4F3D1-7794-D84C-9307-6DA0F86CDDAB}">
      <dgm:prSet/>
      <dgm:spPr/>
      <dgm:t>
        <a:bodyPr/>
        <a:lstStyle/>
        <a:p>
          <a:endParaRPr lang="es-MX"/>
        </a:p>
      </dgm:t>
    </dgm:pt>
    <dgm:pt modelId="{D7DB8898-9ACC-2C4E-A8A5-366ACF5B331B}">
      <dgm:prSet phldrT="[Texto]"/>
      <dgm:spPr/>
      <dgm:t>
        <a:bodyPr/>
        <a:lstStyle/>
        <a:p>
          <a:r>
            <a:rPr lang="es-MX"/>
            <a:t>Dirección RRHH</a:t>
          </a:r>
        </a:p>
      </dgm:t>
    </dgm:pt>
    <dgm:pt modelId="{37FED916-87A5-BF4A-92BA-8EFD5BF452BB}" type="parTrans" cxnId="{E74C3057-69E3-FF40-AA4D-F3D8C8C3E0AE}">
      <dgm:prSet/>
      <dgm:spPr/>
      <dgm:t>
        <a:bodyPr/>
        <a:lstStyle/>
        <a:p>
          <a:endParaRPr lang="es-MX"/>
        </a:p>
      </dgm:t>
    </dgm:pt>
    <dgm:pt modelId="{F8C331BE-6624-9841-BED9-1BE808B35C82}" type="sibTrans" cxnId="{E74C3057-69E3-FF40-AA4D-F3D8C8C3E0AE}">
      <dgm:prSet/>
      <dgm:spPr/>
      <dgm:t>
        <a:bodyPr/>
        <a:lstStyle/>
        <a:p>
          <a:endParaRPr lang="es-MX"/>
        </a:p>
      </dgm:t>
    </dgm:pt>
    <dgm:pt modelId="{02D0AECC-B621-7C41-8F24-A7C1FFF8BA77}" type="asst">
      <dgm:prSet/>
      <dgm:spPr/>
      <dgm:t>
        <a:bodyPr/>
        <a:lstStyle/>
        <a:p>
          <a:r>
            <a:rPr lang="es-MX"/>
            <a:t>Subdirección</a:t>
          </a:r>
        </a:p>
      </dgm:t>
    </dgm:pt>
    <dgm:pt modelId="{A88FC3B7-7BDD-144B-A501-B0FB88604331}" type="parTrans" cxnId="{0AC305AB-4371-CD4E-9962-7334BF6805F6}">
      <dgm:prSet/>
      <dgm:spPr/>
      <dgm:t>
        <a:bodyPr/>
        <a:lstStyle/>
        <a:p>
          <a:endParaRPr lang="es-MX"/>
        </a:p>
      </dgm:t>
    </dgm:pt>
    <dgm:pt modelId="{5ECB3F15-521D-6545-93C3-0922346CE294}" type="sibTrans" cxnId="{0AC305AB-4371-CD4E-9962-7334BF6805F6}">
      <dgm:prSet/>
      <dgm:spPr/>
      <dgm:t>
        <a:bodyPr/>
        <a:lstStyle/>
        <a:p>
          <a:endParaRPr lang="es-MX"/>
        </a:p>
      </dgm:t>
    </dgm:pt>
    <dgm:pt modelId="{AB263F0E-728F-FE41-A4FA-32CB4010D001}" type="asst">
      <dgm:prSet/>
      <dgm:spPr/>
      <dgm:t>
        <a:bodyPr/>
        <a:lstStyle/>
        <a:p>
          <a:r>
            <a:rPr lang="es-MX"/>
            <a:t>Jefe de agencia</a:t>
          </a:r>
        </a:p>
      </dgm:t>
    </dgm:pt>
    <dgm:pt modelId="{441D478C-28C6-FD43-BB11-BC2D08E39FB4}" type="parTrans" cxnId="{E8D77082-6C46-DF47-8539-AB4F9237AE08}">
      <dgm:prSet/>
      <dgm:spPr/>
      <dgm:t>
        <a:bodyPr/>
        <a:lstStyle/>
        <a:p>
          <a:endParaRPr lang="es-MX"/>
        </a:p>
      </dgm:t>
    </dgm:pt>
    <dgm:pt modelId="{500DECEF-3BD7-6F45-9FB0-1B81CB59D650}" type="sibTrans" cxnId="{E8D77082-6C46-DF47-8539-AB4F9237AE08}">
      <dgm:prSet/>
      <dgm:spPr/>
      <dgm:t>
        <a:bodyPr/>
        <a:lstStyle/>
        <a:p>
          <a:endParaRPr lang="es-MX"/>
        </a:p>
      </dgm:t>
    </dgm:pt>
    <dgm:pt modelId="{F674AC03-1E2B-DC40-9FD0-E2AD53C9A53E}" type="asst">
      <dgm:prSet/>
      <dgm:spPr/>
      <dgm:t>
        <a:bodyPr/>
        <a:lstStyle/>
        <a:p>
          <a:r>
            <a:rPr lang="es-MX"/>
            <a:t>Jefe de almacen</a:t>
          </a:r>
        </a:p>
      </dgm:t>
    </dgm:pt>
    <dgm:pt modelId="{81B4461A-B103-C048-8E5D-5C2B3AED6050}" type="parTrans" cxnId="{D7509623-7CE1-DC4E-B03F-38EDD9D28C9D}">
      <dgm:prSet/>
      <dgm:spPr/>
      <dgm:t>
        <a:bodyPr/>
        <a:lstStyle/>
        <a:p>
          <a:endParaRPr lang="es-MX"/>
        </a:p>
      </dgm:t>
    </dgm:pt>
    <dgm:pt modelId="{53B6A1ED-EB54-6948-B299-7306EED576F2}" type="sibTrans" cxnId="{D7509623-7CE1-DC4E-B03F-38EDD9D28C9D}">
      <dgm:prSet/>
      <dgm:spPr/>
      <dgm:t>
        <a:bodyPr/>
        <a:lstStyle/>
        <a:p>
          <a:endParaRPr lang="es-MX"/>
        </a:p>
      </dgm:t>
    </dgm:pt>
    <dgm:pt modelId="{A515BAD7-9E85-AD4B-A184-D88A44E973B1}" type="asst">
      <dgm:prSet/>
      <dgm:spPr/>
      <dgm:t>
        <a:bodyPr/>
        <a:lstStyle/>
        <a:p>
          <a:r>
            <a:rPr lang="es-MX"/>
            <a:t>Jefe de Producto</a:t>
          </a:r>
        </a:p>
      </dgm:t>
    </dgm:pt>
    <dgm:pt modelId="{E262FE2F-D51F-0B48-BC77-E28FA8BA5C89}" type="parTrans" cxnId="{E47F4159-6960-CC4F-97B7-982558C895CA}">
      <dgm:prSet/>
      <dgm:spPr/>
      <dgm:t>
        <a:bodyPr/>
        <a:lstStyle/>
        <a:p>
          <a:endParaRPr lang="es-MX"/>
        </a:p>
      </dgm:t>
    </dgm:pt>
    <dgm:pt modelId="{D97DCEE5-74A2-5F48-B4F0-133AE26ABB7D}" type="sibTrans" cxnId="{E47F4159-6960-CC4F-97B7-982558C895CA}">
      <dgm:prSet/>
      <dgm:spPr/>
      <dgm:t>
        <a:bodyPr/>
        <a:lstStyle/>
        <a:p>
          <a:endParaRPr lang="es-MX"/>
        </a:p>
      </dgm:t>
    </dgm:pt>
    <dgm:pt modelId="{BD82C0AC-6929-0747-A137-94C07DCD4C13}" type="pres">
      <dgm:prSet presAssocID="{4B2585E2-6C20-9C48-93F8-D96349B5AFA0}" presName="hierChild1" presStyleCnt="0">
        <dgm:presLayoutVars>
          <dgm:orgChart val="1"/>
          <dgm:chPref val="1"/>
          <dgm:dir/>
          <dgm:animOne val="branch"/>
          <dgm:animLvl val="lvl"/>
          <dgm:resizeHandles/>
        </dgm:presLayoutVars>
      </dgm:prSet>
      <dgm:spPr/>
    </dgm:pt>
    <dgm:pt modelId="{E1447A62-135C-E44D-8BB4-158C85A10840}" type="pres">
      <dgm:prSet presAssocID="{A77DAC43-7634-2648-9E73-ED71B570873B}" presName="hierRoot1" presStyleCnt="0">
        <dgm:presLayoutVars>
          <dgm:hierBranch val="init"/>
        </dgm:presLayoutVars>
      </dgm:prSet>
      <dgm:spPr/>
    </dgm:pt>
    <dgm:pt modelId="{CEED653F-1D22-FD44-9631-923F49F9CEBF}" type="pres">
      <dgm:prSet presAssocID="{A77DAC43-7634-2648-9E73-ED71B570873B}" presName="rootComposite1" presStyleCnt="0"/>
      <dgm:spPr/>
    </dgm:pt>
    <dgm:pt modelId="{F9353BC0-8118-8D45-80D9-60A88E1ED7DF}" type="pres">
      <dgm:prSet presAssocID="{A77DAC43-7634-2648-9E73-ED71B570873B}" presName="rootText1" presStyleLbl="node0" presStyleIdx="0" presStyleCnt="1">
        <dgm:presLayoutVars>
          <dgm:chMax/>
          <dgm:chPref val="3"/>
        </dgm:presLayoutVars>
      </dgm:prSet>
      <dgm:spPr/>
    </dgm:pt>
    <dgm:pt modelId="{AA12F377-CA17-5547-8BBC-744F822F9C05}" type="pres">
      <dgm:prSet presAssocID="{A77DAC43-7634-2648-9E73-ED71B570873B}" presName="titleText1" presStyleLbl="fgAcc0" presStyleIdx="0" presStyleCnt="1">
        <dgm:presLayoutVars>
          <dgm:chMax val="0"/>
          <dgm:chPref val="0"/>
        </dgm:presLayoutVars>
      </dgm:prSet>
      <dgm:spPr/>
    </dgm:pt>
    <dgm:pt modelId="{CD4A200B-12F2-534F-87AF-5A50E29073DE}" type="pres">
      <dgm:prSet presAssocID="{A77DAC43-7634-2648-9E73-ED71B570873B}" presName="rootConnector1" presStyleLbl="node1" presStyleIdx="0" presStyleCnt="3"/>
      <dgm:spPr/>
    </dgm:pt>
    <dgm:pt modelId="{5411B5CC-CCDB-1240-8A0B-CEC798BFF23B}" type="pres">
      <dgm:prSet presAssocID="{A77DAC43-7634-2648-9E73-ED71B570873B}" presName="hierChild2" presStyleCnt="0"/>
      <dgm:spPr/>
    </dgm:pt>
    <dgm:pt modelId="{BB1F9859-2F99-E844-A3BB-D7BC0F3AA199}" type="pres">
      <dgm:prSet presAssocID="{1EEF4DE9-65A8-C445-9F6F-A41C57896772}" presName="Name37" presStyleLbl="parChTrans1D2" presStyleIdx="0" presStyleCnt="5"/>
      <dgm:spPr/>
    </dgm:pt>
    <dgm:pt modelId="{AEF4CA39-8597-BB42-8EB8-D0192320DCF2}" type="pres">
      <dgm:prSet presAssocID="{480C9F85-E1F5-B54D-BB30-4EDF7D034F70}" presName="hierRoot2" presStyleCnt="0">
        <dgm:presLayoutVars>
          <dgm:hierBranch val="init"/>
        </dgm:presLayoutVars>
      </dgm:prSet>
      <dgm:spPr/>
    </dgm:pt>
    <dgm:pt modelId="{8498427D-A21C-6D4B-A603-221E53712356}" type="pres">
      <dgm:prSet presAssocID="{480C9F85-E1F5-B54D-BB30-4EDF7D034F70}" presName="rootComposite" presStyleCnt="0"/>
      <dgm:spPr/>
    </dgm:pt>
    <dgm:pt modelId="{E31F7AD1-0446-EE4E-A362-C61882C1F9BF}" type="pres">
      <dgm:prSet presAssocID="{480C9F85-E1F5-B54D-BB30-4EDF7D034F70}" presName="rootText" presStyleLbl="node1" presStyleIdx="0" presStyleCnt="3">
        <dgm:presLayoutVars>
          <dgm:chMax/>
          <dgm:chPref val="3"/>
        </dgm:presLayoutVars>
      </dgm:prSet>
      <dgm:spPr/>
    </dgm:pt>
    <dgm:pt modelId="{0427B89A-3D7B-F24E-8380-37243B28EA59}" type="pres">
      <dgm:prSet presAssocID="{480C9F85-E1F5-B54D-BB30-4EDF7D034F70}" presName="titleText2" presStyleLbl="fgAcc1" presStyleIdx="0" presStyleCnt="3">
        <dgm:presLayoutVars>
          <dgm:chMax val="0"/>
          <dgm:chPref val="0"/>
        </dgm:presLayoutVars>
      </dgm:prSet>
      <dgm:spPr/>
    </dgm:pt>
    <dgm:pt modelId="{9F492FC0-875A-5643-AEAF-DF7D590C4498}" type="pres">
      <dgm:prSet presAssocID="{480C9F85-E1F5-B54D-BB30-4EDF7D034F70}" presName="rootConnector" presStyleLbl="node2" presStyleIdx="0" presStyleCnt="0"/>
      <dgm:spPr/>
    </dgm:pt>
    <dgm:pt modelId="{30235482-A9C4-F94E-A9B8-8B5D915574D5}" type="pres">
      <dgm:prSet presAssocID="{480C9F85-E1F5-B54D-BB30-4EDF7D034F70}" presName="hierChild4" presStyleCnt="0"/>
      <dgm:spPr/>
    </dgm:pt>
    <dgm:pt modelId="{DC9B2B28-2201-9D44-97AA-0A2B5D607948}" type="pres">
      <dgm:prSet presAssocID="{480C9F85-E1F5-B54D-BB30-4EDF7D034F70}" presName="hierChild5" presStyleCnt="0"/>
      <dgm:spPr/>
    </dgm:pt>
    <dgm:pt modelId="{625F1076-6F91-2B48-B274-5D476989F163}" type="pres">
      <dgm:prSet presAssocID="{888930DB-9EA8-1A47-8A2C-9B2EA29C14A2}" presName="Name37" presStyleLbl="parChTrans1D2" presStyleIdx="1" presStyleCnt="5"/>
      <dgm:spPr/>
    </dgm:pt>
    <dgm:pt modelId="{B29211EC-00B6-8A49-A7FB-2FC08824D34B}" type="pres">
      <dgm:prSet presAssocID="{5F0D4362-B1A0-3C4D-9058-6127602ADA31}" presName="hierRoot2" presStyleCnt="0">
        <dgm:presLayoutVars>
          <dgm:hierBranch val="init"/>
        </dgm:presLayoutVars>
      </dgm:prSet>
      <dgm:spPr/>
    </dgm:pt>
    <dgm:pt modelId="{6F8988EB-2A30-5E49-AE9B-FBA92E4A14F3}" type="pres">
      <dgm:prSet presAssocID="{5F0D4362-B1A0-3C4D-9058-6127602ADA31}" presName="rootComposite" presStyleCnt="0"/>
      <dgm:spPr/>
    </dgm:pt>
    <dgm:pt modelId="{9DB25656-3FF2-3E45-9F49-CD9724A9709A}" type="pres">
      <dgm:prSet presAssocID="{5F0D4362-B1A0-3C4D-9058-6127602ADA31}" presName="rootText" presStyleLbl="node1" presStyleIdx="1" presStyleCnt="3">
        <dgm:presLayoutVars>
          <dgm:chMax/>
          <dgm:chPref val="3"/>
        </dgm:presLayoutVars>
      </dgm:prSet>
      <dgm:spPr/>
    </dgm:pt>
    <dgm:pt modelId="{EE9FA669-5D8B-424A-BC8E-275ACAEC73F3}" type="pres">
      <dgm:prSet presAssocID="{5F0D4362-B1A0-3C4D-9058-6127602ADA31}" presName="titleText2" presStyleLbl="fgAcc1" presStyleIdx="1" presStyleCnt="3">
        <dgm:presLayoutVars>
          <dgm:chMax val="0"/>
          <dgm:chPref val="0"/>
        </dgm:presLayoutVars>
      </dgm:prSet>
      <dgm:spPr/>
    </dgm:pt>
    <dgm:pt modelId="{9788EF60-AFD9-4E4A-8C2A-667BB252AFA5}" type="pres">
      <dgm:prSet presAssocID="{5F0D4362-B1A0-3C4D-9058-6127602ADA31}" presName="rootConnector" presStyleLbl="node2" presStyleIdx="0" presStyleCnt="0"/>
      <dgm:spPr/>
    </dgm:pt>
    <dgm:pt modelId="{C911086F-A4EE-2741-9B80-91F08C762A67}" type="pres">
      <dgm:prSet presAssocID="{5F0D4362-B1A0-3C4D-9058-6127602ADA31}" presName="hierChild4" presStyleCnt="0"/>
      <dgm:spPr/>
    </dgm:pt>
    <dgm:pt modelId="{8494232F-8AC2-984B-A077-EB450C3EC58B}" type="pres">
      <dgm:prSet presAssocID="{5F0D4362-B1A0-3C4D-9058-6127602ADA31}" presName="hierChild5" presStyleCnt="0"/>
      <dgm:spPr/>
    </dgm:pt>
    <dgm:pt modelId="{1725E451-F805-7A47-9A38-A66526EE42EF}" type="pres">
      <dgm:prSet presAssocID="{37FED916-87A5-BF4A-92BA-8EFD5BF452BB}" presName="Name37" presStyleLbl="parChTrans1D2" presStyleIdx="2" presStyleCnt="5"/>
      <dgm:spPr/>
    </dgm:pt>
    <dgm:pt modelId="{C8D6AC67-B1F0-604E-A257-2371509388CF}" type="pres">
      <dgm:prSet presAssocID="{D7DB8898-9ACC-2C4E-A8A5-366ACF5B331B}" presName="hierRoot2" presStyleCnt="0">
        <dgm:presLayoutVars>
          <dgm:hierBranch val="init"/>
        </dgm:presLayoutVars>
      </dgm:prSet>
      <dgm:spPr/>
    </dgm:pt>
    <dgm:pt modelId="{4B41C9AB-6A30-514C-B9FC-AEED4C7D11C3}" type="pres">
      <dgm:prSet presAssocID="{D7DB8898-9ACC-2C4E-A8A5-366ACF5B331B}" presName="rootComposite" presStyleCnt="0"/>
      <dgm:spPr/>
    </dgm:pt>
    <dgm:pt modelId="{AF7F7512-4DE1-0548-BA10-848A88768928}" type="pres">
      <dgm:prSet presAssocID="{D7DB8898-9ACC-2C4E-A8A5-366ACF5B331B}" presName="rootText" presStyleLbl="node1" presStyleIdx="2" presStyleCnt="3">
        <dgm:presLayoutVars>
          <dgm:chMax/>
          <dgm:chPref val="3"/>
        </dgm:presLayoutVars>
      </dgm:prSet>
      <dgm:spPr/>
    </dgm:pt>
    <dgm:pt modelId="{46783C10-A24D-1C4C-AEEB-8D85F583E47E}" type="pres">
      <dgm:prSet presAssocID="{D7DB8898-9ACC-2C4E-A8A5-366ACF5B331B}" presName="titleText2" presStyleLbl="fgAcc1" presStyleIdx="2" presStyleCnt="3">
        <dgm:presLayoutVars>
          <dgm:chMax val="0"/>
          <dgm:chPref val="0"/>
        </dgm:presLayoutVars>
      </dgm:prSet>
      <dgm:spPr/>
    </dgm:pt>
    <dgm:pt modelId="{7FE8195A-8615-2640-B8F9-BFB7EC13C4AF}" type="pres">
      <dgm:prSet presAssocID="{D7DB8898-9ACC-2C4E-A8A5-366ACF5B331B}" presName="rootConnector" presStyleLbl="node2" presStyleIdx="0" presStyleCnt="0"/>
      <dgm:spPr/>
    </dgm:pt>
    <dgm:pt modelId="{5EE62601-543F-3C48-8B25-02E69D2FA7BE}" type="pres">
      <dgm:prSet presAssocID="{D7DB8898-9ACC-2C4E-A8A5-366ACF5B331B}" presName="hierChild4" presStyleCnt="0"/>
      <dgm:spPr/>
    </dgm:pt>
    <dgm:pt modelId="{D1AFA31D-F0A9-F94F-B898-4F0C825F7D77}" type="pres">
      <dgm:prSet presAssocID="{D7DB8898-9ACC-2C4E-A8A5-366ACF5B331B}" presName="hierChild5" presStyleCnt="0"/>
      <dgm:spPr/>
    </dgm:pt>
    <dgm:pt modelId="{DD2D3FE5-544B-AD47-9F1A-B8A27FBC79F0}" type="pres">
      <dgm:prSet presAssocID="{A77DAC43-7634-2648-9E73-ED71B570873B}" presName="hierChild3" presStyleCnt="0"/>
      <dgm:spPr/>
    </dgm:pt>
    <dgm:pt modelId="{68AC54F9-5272-5B4A-8463-2F7B0B7C8132}" type="pres">
      <dgm:prSet presAssocID="{4D9B0710-8262-DB41-87AC-2B72AB905F9D}" presName="Name96" presStyleLbl="parChTrans1D2" presStyleIdx="3" presStyleCnt="5"/>
      <dgm:spPr/>
    </dgm:pt>
    <dgm:pt modelId="{9BFC76F5-2EE1-5545-A1E8-020FDA53B977}" type="pres">
      <dgm:prSet presAssocID="{6CB15F8A-1558-4145-AA9F-0D1C3C57817A}" presName="hierRoot3" presStyleCnt="0">
        <dgm:presLayoutVars>
          <dgm:hierBranch val="init"/>
        </dgm:presLayoutVars>
      </dgm:prSet>
      <dgm:spPr/>
    </dgm:pt>
    <dgm:pt modelId="{E303778E-FD40-5042-BCB1-20B8C8271FF1}" type="pres">
      <dgm:prSet presAssocID="{6CB15F8A-1558-4145-AA9F-0D1C3C57817A}" presName="rootComposite3" presStyleCnt="0"/>
      <dgm:spPr/>
    </dgm:pt>
    <dgm:pt modelId="{7AE38EBC-1D2B-0744-94DB-B6CD2DE5A42C}" type="pres">
      <dgm:prSet presAssocID="{6CB15F8A-1558-4145-AA9F-0D1C3C57817A}" presName="rootText3" presStyleLbl="asst1" presStyleIdx="0" presStyleCnt="5">
        <dgm:presLayoutVars>
          <dgm:chPref val="3"/>
        </dgm:presLayoutVars>
      </dgm:prSet>
      <dgm:spPr/>
    </dgm:pt>
    <dgm:pt modelId="{AEAA8486-B9D0-C14F-B816-FABFA24E945C}" type="pres">
      <dgm:prSet presAssocID="{6CB15F8A-1558-4145-AA9F-0D1C3C57817A}" presName="titleText3" presStyleLbl="fgAcc2" presStyleIdx="0" presStyleCnt="5">
        <dgm:presLayoutVars>
          <dgm:chMax val="0"/>
          <dgm:chPref val="0"/>
        </dgm:presLayoutVars>
      </dgm:prSet>
      <dgm:spPr/>
    </dgm:pt>
    <dgm:pt modelId="{F9E654E4-F5DF-394F-A857-04DDE10247CD}" type="pres">
      <dgm:prSet presAssocID="{6CB15F8A-1558-4145-AA9F-0D1C3C57817A}" presName="rootConnector3" presStyleLbl="asst1" presStyleIdx="0" presStyleCnt="5"/>
      <dgm:spPr/>
    </dgm:pt>
    <dgm:pt modelId="{53C20D50-5731-7A4C-A02E-3A0F0E7DF379}" type="pres">
      <dgm:prSet presAssocID="{6CB15F8A-1558-4145-AA9F-0D1C3C57817A}" presName="hierChild6" presStyleCnt="0"/>
      <dgm:spPr/>
    </dgm:pt>
    <dgm:pt modelId="{FC332492-1A09-AD4B-9309-AF73D6255FBF}" type="pres">
      <dgm:prSet presAssocID="{6CB15F8A-1558-4145-AA9F-0D1C3C57817A}" presName="hierChild7" presStyleCnt="0"/>
      <dgm:spPr/>
    </dgm:pt>
    <dgm:pt modelId="{A558574C-134B-7742-A451-B869DB6D4FAB}" type="pres">
      <dgm:prSet presAssocID="{A88FC3B7-7BDD-144B-A501-B0FB88604331}" presName="Name96" presStyleLbl="parChTrans1D2" presStyleIdx="4" presStyleCnt="5"/>
      <dgm:spPr/>
    </dgm:pt>
    <dgm:pt modelId="{17DD6BE5-8738-974B-99DC-736767336C0E}" type="pres">
      <dgm:prSet presAssocID="{02D0AECC-B621-7C41-8F24-A7C1FFF8BA77}" presName="hierRoot3" presStyleCnt="0">
        <dgm:presLayoutVars>
          <dgm:hierBranch val="init"/>
        </dgm:presLayoutVars>
      </dgm:prSet>
      <dgm:spPr/>
    </dgm:pt>
    <dgm:pt modelId="{47BE6236-C443-A340-A63E-49559A938DDE}" type="pres">
      <dgm:prSet presAssocID="{02D0AECC-B621-7C41-8F24-A7C1FFF8BA77}" presName="rootComposite3" presStyleCnt="0"/>
      <dgm:spPr/>
    </dgm:pt>
    <dgm:pt modelId="{DEEFEDFE-2866-EE4D-8C2C-77BB53591A7B}" type="pres">
      <dgm:prSet presAssocID="{02D0AECC-B621-7C41-8F24-A7C1FFF8BA77}" presName="rootText3" presStyleLbl="asst1" presStyleIdx="1" presStyleCnt="5">
        <dgm:presLayoutVars>
          <dgm:chPref val="3"/>
        </dgm:presLayoutVars>
      </dgm:prSet>
      <dgm:spPr/>
    </dgm:pt>
    <dgm:pt modelId="{58DCCAB3-526B-AF4F-87EA-CD6BA11237E1}" type="pres">
      <dgm:prSet presAssocID="{02D0AECC-B621-7C41-8F24-A7C1FFF8BA77}" presName="titleText3" presStyleLbl="fgAcc2" presStyleIdx="1" presStyleCnt="5">
        <dgm:presLayoutVars>
          <dgm:chMax val="0"/>
          <dgm:chPref val="0"/>
        </dgm:presLayoutVars>
      </dgm:prSet>
      <dgm:spPr/>
    </dgm:pt>
    <dgm:pt modelId="{CF022384-190C-9644-8507-0C487A8BF520}" type="pres">
      <dgm:prSet presAssocID="{02D0AECC-B621-7C41-8F24-A7C1FFF8BA77}" presName="rootConnector3" presStyleLbl="asst1" presStyleIdx="1" presStyleCnt="5"/>
      <dgm:spPr/>
    </dgm:pt>
    <dgm:pt modelId="{3B14C277-5E6C-A740-AAE9-0028710FB380}" type="pres">
      <dgm:prSet presAssocID="{02D0AECC-B621-7C41-8F24-A7C1FFF8BA77}" presName="hierChild6" presStyleCnt="0"/>
      <dgm:spPr/>
    </dgm:pt>
    <dgm:pt modelId="{A3E6496B-123E-9946-AD60-5E300F2CB285}" type="pres">
      <dgm:prSet presAssocID="{02D0AECC-B621-7C41-8F24-A7C1FFF8BA77}" presName="hierChild7" presStyleCnt="0"/>
      <dgm:spPr/>
    </dgm:pt>
    <dgm:pt modelId="{C1418306-8353-3743-A4AD-D157A90DB0F3}" type="pres">
      <dgm:prSet presAssocID="{441D478C-28C6-FD43-BB11-BC2D08E39FB4}" presName="Name96" presStyleLbl="parChTrans1D3" presStyleIdx="0" presStyleCnt="3"/>
      <dgm:spPr/>
    </dgm:pt>
    <dgm:pt modelId="{0C94EE6E-27AB-044F-B6B1-2D40E0A855A5}" type="pres">
      <dgm:prSet presAssocID="{AB263F0E-728F-FE41-A4FA-32CB4010D001}" presName="hierRoot3" presStyleCnt="0">
        <dgm:presLayoutVars>
          <dgm:hierBranch val="init"/>
        </dgm:presLayoutVars>
      </dgm:prSet>
      <dgm:spPr/>
    </dgm:pt>
    <dgm:pt modelId="{58ABA7FE-4C44-274C-8054-B1B89E11B60A}" type="pres">
      <dgm:prSet presAssocID="{AB263F0E-728F-FE41-A4FA-32CB4010D001}" presName="rootComposite3" presStyleCnt="0"/>
      <dgm:spPr/>
    </dgm:pt>
    <dgm:pt modelId="{1EC4C9F4-7C3C-F546-9A75-4A6C02413A49}" type="pres">
      <dgm:prSet presAssocID="{AB263F0E-728F-FE41-A4FA-32CB4010D001}" presName="rootText3" presStyleLbl="asst1" presStyleIdx="2" presStyleCnt="5">
        <dgm:presLayoutVars>
          <dgm:chPref val="3"/>
        </dgm:presLayoutVars>
      </dgm:prSet>
      <dgm:spPr/>
    </dgm:pt>
    <dgm:pt modelId="{30C84345-AD4B-564A-8986-29612107DACC}" type="pres">
      <dgm:prSet presAssocID="{AB263F0E-728F-FE41-A4FA-32CB4010D001}" presName="titleText3" presStyleLbl="fgAcc2" presStyleIdx="2" presStyleCnt="5">
        <dgm:presLayoutVars>
          <dgm:chMax val="0"/>
          <dgm:chPref val="0"/>
        </dgm:presLayoutVars>
      </dgm:prSet>
      <dgm:spPr/>
    </dgm:pt>
    <dgm:pt modelId="{2C580E0C-FCEC-9A4D-9253-EB797323BAA2}" type="pres">
      <dgm:prSet presAssocID="{AB263F0E-728F-FE41-A4FA-32CB4010D001}" presName="rootConnector3" presStyleLbl="asst1" presStyleIdx="2" presStyleCnt="5"/>
      <dgm:spPr/>
    </dgm:pt>
    <dgm:pt modelId="{3EDFF694-2D89-374A-A24D-3D6F769387E7}" type="pres">
      <dgm:prSet presAssocID="{AB263F0E-728F-FE41-A4FA-32CB4010D001}" presName="hierChild6" presStyleCnt="0"/>
      <dgm:spPr/>
    </dgm:pt>
    <dgm:pt modelId="{4D833A5C-8E8B-E34D-995E-E3A514CA31A1}" type="pres">
      <dgm:prSet presAssocID="{AB263F0E-728F-FE41-A4FA-32CB4010D001}" presName="hierChild7" presStyleCnt="0"/>
      <dgm:spPr/>
    </dgm:pt>
    <dgm:pt modelId="{E373F789-FB95-3B4C-9C02-7E6A483DFE81}" type="pres">
      <dgm:prSet presAssocID="{81B4461A-B103-C048-8E5D-5C2B3AED6050}" presName="Name96" presStyleLbl="parChTrans1D3" presStyleIdx="1" presStyleCnt="3"/>
      <dgm:spPr/>
    </dgm:pt>
    <dgm:pt modelId="{F68C1361-4671-854E-B2A7-BF978F43C19C}" type="pres">
      <dgm:prSet presAssocID="{F674AC03-1E2B-DC40-9FD0-E2AD53C9A53E}" presName="hierRoot3" presStyleCnt="0">
        <dgm:presLayoutVars>
          <dgm:hierBranch val="init"/>
        </dgm:presLayoutVars>
      </dgm:prSet>
      <dgm:spPr/>
    </dgm:pt>
    <dgm:pt modelId="{D3B0D608-AFE8-2844-BE19-6BFD7CCA072C}" type="pres">
      <dgm:prSet presAssocID="{F674AC03-1E2B-DC40-9FD0-E2AD53C9A53E}" presName="rootComposite3" presStyleCnt="0"/>
      <dgm:spPr/>
    </dgm:pt>
    <dgm:pt modelId="{F71A014F-B905-3A49-8140-542683238173}" type="pres">
      <dgm:prSet presAssocID="{F674AC03-1E2B-DC40-9FD0-E2AD53C9A53E}" presName="rootText3" presStyleLbl="asst1" presStyleIdx="3" presStyleCnt="5">
        <dgm:presLayoutVars>
          <dgm:chPref val="3"/>
        </dgm:presLayoutVars>
      </dgm:prSet>
      <dgm:spPr/>
    </dgm:pt>
    <dgm:pt modelId="{A4006D0D-F84A-134C-AE14-5808D1AA8E6B}" type="pres">
      <dgm:prSet presAssocID="{F674AC03-1E2B-DC40-9FD0-E2AD53C9A53E}" presName="titleText3" presStyleLbl="fgAcc2" presStyleIdx="3" presStyleCnt="5">
        <dgm:presLayoutVars>
          <dgm:chMax val="0"/>
          <dgm:chPref val="0"/>
        </dgm:presLayoutVars>
      </dgm:prSet>
      <dgm:spPr/>
    </dgm:pt>
    <dgm:pt modelId="{AF990030-F7C5-A149-8DD8-BA446C8684B3}" type="pres">
      <dgm:prSet presAssocID="{F674AC03-1E2B-DC40-9FD0-E2AD53C9A53E}" presName="rootConnector3" presStyleLbl="asst1" presStyleIdx="3" presStyleCnt="5"/>
      <dgm:spPr/>
    </dgm:pt>
    <dgm:pt modelId="{0B3810B4-A9FF-5F4E-ABF0-68535EE35073}" type="pres">
      <dgm:prSet presAssocID="{F674AC03-1E2B-DC40-9FD0-E2AD53C9A53E}" presName="hierChild6" presStyleCnt="0"/>
      <dgm:spPr/>
    </dgm:pt>
    <dgm:pt modelId="{CF4B0A7C-A1C8-8E47-8FA5-33386DCE8760}" type="pres">
      <dgm:prSet presAssocID="{F674AC03-1E2B-DC40-9FD0-E2AD53C9A53E}" presName="hierChild7" presStyleCnt="0"/>
      <dgm:spPr/>
    </dgm:pt>
    <dgm:pt modelId="{2A2CEDDA-EF29-B54A-9D53-148A9E219B04}" type="pres">
      <dgm:prSet presAssocID="{E262FE2F-D51F-0B48-BC77-E28FA8BA5C89}" presName="Name96" presStyleLbl="parChTrans1D3" presStyleIdx="2" presStyleCnt="3"/>
      <dgm:spPr/>
    </dgm:pt>
    <dgm:pt modelId="{7C5AC114-6DE4-1B42-8B8B-732B697C947E}" type="pres">
      <dgm:prSet presAssocID="{A515BAD7-9E85-AD4B-A184-D88A44E973B1}" presName="hierRoot3" presStyleCnt="0">
        <dgm:presLayoutVars>
          <dgm:hierBranch val="init"/>
        </dgm:presLayoutVars>
      </dgm:prSet>
      <dgm:spPr/>
    </dgm:pt>
    <dgm:pt modelId="{16BC4400-BDF3-A940-AC17-828CE726F153}" type="pres">
      <dgm:prSet presAssocID="{A515BAD7-9E85-AD4B-A184-D88A44E973B1}" presName="rootComposite3" presStyleCnt="0"/>
      <dgm:spPr/>
    </dgm:pt>
    <dgm:pt modelId="{C0CE6219-918F-BA41-AF65-044FB02F11A3}" type="pres">
      <dgm:prSet presAssocID="{A515BAD7-9E85-AD4B-A184-D88A44E973B1}" presName="rootText3" presStyleLbl="asst1" presStyleIdx="4" presStyleCnt="5">
        <dgm:presLayoutVars>
          <dgm:chPref val="3"/>
        </dgm:presLayoutVars>
      </dgm:prSet>
      <dgm:spPr/>
    </dgm:pt>
    <dgm:pt modelId="{4FE0CB17-39B9-454E-ACDD-437CE2BCE2BA}" type="pres">
      <dgm:prSet presAssocID="{A515BAD7-9E85-AD4B-A184-D88A44E973B1}" presName="titleText3" presStyleLbl="fgAcc2" presStyleIdx="4" presStyleCnt="5">
        <dgm:presLayoutVars>
          <dgm:chMax val="0"/>
          <dgm:chPref val="0"/>
        </dgm:presLayoutVars>
      </dgm:prSet>
      <dgm:spPr/>
    </dgm:pt>
    <dgm:pt modelId="{83D9B3C1-36E3-3649-9811-9203F66FAC26}" type="pres">
      <dgm:prSet presAssocID="{A515BAD7-9E85-AD4B-A184-D88A44E973B1}" presName="rootConnector3" presStyleLbl="asst1" presStyleIdx="4" presStyleCnt="5"/>
      <dgm:spPr/>
    </dgm:pt>
    <dgm:pt modelId="{CD605557-B517-3343-8254-27149796EA53}" type="pres">
      <dgm:prSet presAssocID="{A515BAD7-9E85-AD4B-A184-D88A44E973B1}" presName="hierChild6" presStyleCnt="0"/>
      <dgm:spPr/>
    </dgm:pt>
    <dgm:pt modelId="{0510C4D0-C1A8-EB47-BE54-D64DABCEF21B}" type="pres">
      <dgm:prSet presAssocID="{A515BAD7-9E85-AD4B-A184-D88A44E973B1}" presName="hierChild7" presStyleCnt="0"/>
      <dgm:spPr/>
    </dgm:pt>
  </dgm:ptLst>
  <dgm:cxnLst>
    <dgm:cxn modelId="{D6A04B03-3D7C-5B40-9765-9CD146DFAFC3}" type="presOf" srcId="{888930DB-9EA8-1A47-8A2C-9B2EA29C14A2}" destId="{625F1076-6F91-2B48-B274-5D476989F163}" srcOrd="0" destOrd="0" presId="urn:microsoft.com/office/officeart/2008/layout/NameandTitleOrganizationalChart"/>
    <dgm:cxn modelId="{C080F106-BC4A-CA45-9C63-84F1B6698F55}" type="presOf" srcId="{D7DB8898-9ACC-2C4E-A8A5-366ACF5B331B}" destId="{AF7F7512-4DE1-0548-BA10-848A88768928}" srcOrd="0" destOrd="0" presId="urn:microsoft.com/office/officeart/2008/layout/NameandTitleOrganizationalChart"/>
    <dgm:cxn modelId="{DF2ED707-E806-2342-BD3B-00BC9A0DCDC7}" type="presOf" srcId="{A77DAC43-7634-2648-9E73-ED71B570873B}" destId="{F9353BC0-8118-8D45-80D9-60A88E1ED7DF}" srcOrd="0" destOrd="0" presId="urn:microsoft.com/office/officeart/2008/layout/NameandTitleOrganizationalChart"/>
    <dgm:cxn modelId="{B4284709-7363-9B43-9D9A-5961F3EEAD44}" type="presOf" srcId="{00C8AE9E-7C16-A447-B3EF-BB0298906FFF}" destId="{AA12F377-CA17-5547-8BBC-744F822F9C05}" srcOrd="0" destOrd="0" presId="urn:microsoft.com/office/officeart/2008/layout/NameandTitleOrganizationalChart"/>
    <dgm:cxn modelId="{6F0A3E0B-1654-A248-B79E-1B1A8C4C7CBA}" type="presOf" srcId="{5ECB3F15-521D-6545-93C3-0922346CE294}" destId="{58DCCAB3-526B-AF4F-87EA-CD6BA11237E1}" srcOrd="0" destOrd="0" presId="urn:microsoft.com/office/officeart/2008/layout/NameandTitleOrganizationalChart"/>
    <dgm:cxn modelId="{9F7C7F16-DB4C-B54F-8812-ABD93BAF662E}" srcId="{A77DAC43-7634-2648-9E73-ED71B570873B}" destId="{6CB15F8A-1558-4145-AA9F-0D1C3C57817A}" srcOrd="0" destOrd="0" parTransId="{4D9B0710-8262-DB41-87AC-2B72AB905F9D}" sibTransId="{AF14B916-A6E4-2A43-A022-62ACAD15F6CB}"/>
    <dgm:cxn modelId="{BF65FD1F-1970-8A40-B68B-22D26C9B28F7}" type="presOf" srcId="{02D0AECC-B621-7C41-8F24-A7C1FFF8BA77}" destId="{CF022384-190C-9644-8507-0C487A8BF520}" srcOrd="1" destOrd="0" presId="urn:microsoft.com/office/officeart/2008/layout/NameandTitleOrganizationalChart"/>
    <dgm:cxn modelId="{D7509623-7CE1-DC4E-B03F-38EDD9D28C9D}" srcId="{02D0AECC-B621-7C41-8F24-A7C1FFF8BA77}" destId="{F674AC03-1E2B-DC40-9FD0-E2AD53C9A53E}" srcOrd="1" destOrd="0" parTransId="{81B4461A-B103-C048-8E5D-5C2B3AED6050}" sibTransId="{53B6A1ED-EB54-6948-B299-7306EED576F2}"/>
    <dgm:cxn modelId="{6611392A-798E-744F-A2C7-4745DD03104C}" type="presOf" srcId="{5F0D4362-B1A0-3C4D-9058-6127602ADA31}" destId="{9DB25656-3FF2-3E45-9F49-CD9724A9709A}" srcOrd="0" destOrd="0" presId="urn:microsoft.com/office/officeart/2008/layout/NameandTitleOrganizationalChart"/>
    <dgm:cxn modelId="{FCBBA533-C386-6E4D-AA81-A1084F00A23C}" type="presOf" srcId="{A88FC3B7-7BDD-144B-A501-B0FB88604331}" destId="{A558574C-134B-7742-A451-B869DB6D4FAB}" srcOrd="0" destOrd="0" presId="urn:microsoft.com/office/officeart/2008/layout/NameandTitleOrganizationalChart"/>
    <dgm:cxn modelId="{729B7D36-65B2-AB4B-B77D-B7819DC4702E}" type="presOf" srcId="{02D0AECC-B621-7C41-8F24-A7C1FFF8BA77}" destId="{DEEFEDFE-2866-EE4D-8C2C-77BB53591A7B}" srcOrd="0" destOrd="0" presId="urn:microsoft.com/office/officeart/2008/layout/NameandTitleOrganizationalChart"/>
    <dgm:cxn modelId="{D8297838-9D84-1942-82D4-F760A3B622D4}" type="presOf" srcId="{480C9F85-E1F5-B54D-BB30-4EDF7D034F70}" destId="{9F492FC0-875A-5643-AEAF-DF7D590C4498}" srcOrd="1" destOrd="0" presId="urn:microsoft.com/office/officeart/2008/layout/NameandTitleOrganizationalChart"/>
    <dgm:cxn modelId="{17410E5B-AF49-FC41-9DAF-21567656E5F2}" type="presOf" srcId="{A515BAD7-9E85-AD4B-A184-D88A44E973B1}" destId="{83D9B3C1-36E3-3649-9811-9203F66FAC26}" srcOrd="1" destOrd="0" presId="urn:microsoft.com/office/officeart/2008/layout/NameandTitleOrganizationalChart"/>
    <dgm:cxn modelId="{DCB16D5D-DCA6-C544-930C-E71A831845DE}" type="presOf" srcId="{500DECEF-3BD7-6F45-9FB0-1B81CB59D650}" destId="{30C84345-AD4B-564A-8986-29612107DACC}" srcOrd="0" destOrd="0" presId="urn:microsoft.com/office/officeart/2008/layout/NameandTitleOrganizationalChart"/>
    <dgm:cxn modelId="{81D53360-64F1-C940-B356-F48DB53BF30F}" type="presOf" srcId="{A515BAD7-9E85-AD4B-A184-D88A44E973B1}" destId="{C0CE6219-918F-BA41-AF65-044FB02F11A3}" srcOrd="0" destOrd="0" presId="urn:microsoft.com/office/officeart/2008/layout/NameandTitleOrganizationalChart"/>
    <dgm:cxn modelId="{F00E066D-3677-324F-82C5-BE0F6BF98408}" type="presOf" srcId="{53B6A1ED-EB54-6948-B299-7306EED576F2}" destId="{A4006D0D-F84A-134C-AE14-5808D1AA8E6B}" srcOrd="0" destOrd="0" presId="urn:microsoft.com/office/officeart/2008/layout/NameandTitleOrganizationalChart"/>
    <dgm:cxn modelId="{DEA2214F-3BDF-1E4C-8D57-E59C692C6DCB}" type="presOf" srcId="{6CB15F8A-1558-4145-AA9F-0D1C3C57817A}" destId="{F9E654E4-F5DF-394F-A857-04DDE10247CD}" srcOrd="1" destOrd="0" presId="urn:microsoft.com/office/officeart/2008/layout/NameandTitleOrganizationalChart"/>
    <dgm:cxn modelId="{DEB51350-636E-104A-92E7-4320A27C949A}" type="presOf" srcId="{81B4461A-B103-C048-8E5D-5C2B3AED6050}" destId="{E373F789-FB95-3B4C-9C02-7E6A483DFE81}" srcOrd="0" destOrd="0" presId="urn:microsoft.com/office/officeart/2008/layout/NameandTitleOrganizationalChart"/>
    <dgm:cxn modelId="{E74C3057-69E3-FF40-AA4D-F3D8C8C3E0AE}" srcId="{A77DAC43-7634-2648-9E73-ED71B570873B}" destId="{D7DB8898-9ACC-2C4E-A8A5-366ACF5B331B}" srcOrd="4" destOrd="0" parTransId="{37FED916-87A5-BF4A-92BA-8EFD5BF452BB}" sibTransId="{F8C331BE-6624-9841-BED9-1BE808B35C82}"/>
    <dgm:cxn modelId="{83A23A79-7591-BD46-98B5-2E4D0711E767}" type="presOf" srcId="{F674AC03-1E2B-DC40-9FD0-E2AD53C9A53E}" destId="{AF990030-F7C5-A149-8DD8-BA446C8684B3}" srcOrd="1" destOrd="0" presId="urn:microsoft.com/office/officeart/2008/layout/NameandTitleOrganizationalChart"/>
    <dgm:cxn modelId="{E47F4159-6960-CC4F-97B7-982558C895CA}" srcId="{02D0AECC-B621-7C41-8F24-A7C1FFF8BA77}" destId="{A515BAD7-9E85-AD4B-A184-D88A44E973B1}" srcOrd="2" destOrd="0" parTransId="{E262FE2F-D51F-0B48-BC77-E28FA8BA5C89}" sibTransId="{D97DCEE5-74A2-5F48-B4F0-133AE26ABB7D}"/>
    <dgm:cxn modelId="{6FE6CF5A-9D5E-4C4E-9BA6-213B08269B56}" type="presOf" srcId="{F8C331BE-6624-9841-BED9-1BE808B35C82}" destId="{46783C10-A24D-1C4C-AEEB-8D85F583E47E}" srcOrd="0" destOrd="0" presId="urn:microsoft.com/office/officeart/2008/layout/NameandTitleOrganizationalChart"/>
    <dgm:cxn modelId="{C0760C7B-2075-A74B-BF91-14219B939E9E}" type="presOf" srcId="{5F0D4362-B1A0-3C4D-9058-6127602ADA31}" destId="{9788EF60-AFD9-4E4A-8C2A-667BB252AFA5}" srcOrd="1" destOrd="0" presId="urn:microsoft.com/office/officeart/2008/layout/NameandTitleOrganizationalChart"/>
    <dgm:cxn modelId="{87FEBF7C-196D-0F41-9C7F-27051E1650EC}" type="presOf" srcId="{E262FE2F-D51F-0B48-BC77-E28FA8BA5C89}" destId="{2A2CEDDA-EF29-B54A-9D53-148A9E219B04}" srcOrd="0" destOrd="0" presId="urn:microsoft.com/office/officeart/2008/layout/NameandTitleOrganizationalChart"/>
    <dgm:cxn modelId="{68E90782-3E5D-964A-AF8B-D85267F3E8F3}" type="presOf" srcId="{AF14B916-A6E4-2A43-A022-62ACAD15F6CB}" destId="{AEAA8486-B9D0-C14F-B816-FABFA24E945C}" srcOrd="0" destOrd="0" presId="urn:microsoft.com/office/officeart/2008/layout/NameandTitleOrganizationalChart"/>
    <dgm:cxn modelId="{E8D77082-6C46-DF47-8539-AB4F9237AE08}" srcId="{02D0AECC-B621-7C41-8F24-A7C1FFF8BA77}" destId="{AB263F0E-728F-FE41-A4FA-32CB4010D001}" srcOrd="0" destOrd="0" parTransId="{441D478C-28C6-FD43-BB11-BC2D08E39FB4}" sibTransId="{500DECEF-3BD7-6F45-9FB0-1B81CB59D650}"/>
    <dgm:cxn modelId="{690E4492-2FD7-4949-AC88-8409D11B959B}" type="presOf" srcId="{441D478C-28C6-FD43-BB11-BC2D08E39FB4}" destId="{C1418306-8353-3743-A4AD-D157A90DB0F3}" srcOrd="0" destOrd="0" presId="urn:microsoft.com/office/officeart/2008/layout/NameandTitleOrganizationalChart"/>
    <dgm:cxn modelId="{E994BA96-2C29-DE4D-B116-67491CB88564}" srcId="{4B2585E2-6C20-9C48-93F8-D96349B5AFA0}" destId="{A77DAC43-7634-2648-9E73-ED71B570873B}" srcOrd="0" destOrd="0" parTransId="{29764E81-E7D3-3441-88F7-A37F8DAE05FE}" sibTransId="{00C8AE9E-7C16-A447-B3EF-BB0298906FFF}"/>
    <dgm:cxn modelId="{A7BF8D97-F33B-1E41-9444-870514E9815C}" type="presOf" srcId="{37FED916-87A5-BF4A-92BA-8EFD5BF452BB}" destId="{1725E451-F805-7A47-9A38-A66526EE42EF}" srcOrd="0" destOrd="0" presId="urn:microsoft.com/office/officeart/2008/layout/NameandTitleOrganizationalChart"/>
    <dgm:cxn modelId="{AD92B69B-9EF2-984E-80F1-7310CDB34B4B}" type="presOf" srcId="{4D9B0710-8262-DB41-87AC-2B72AB905F9D}" destId="{68AC54F9-5272-5B4A-8463-2F7B0B7C8132}" srcOrd="0" destOrd="0" presId="urn:microsoft.com/office/officeart/2008/layout/NameandTitleOrganizationalChart"/>
    <dgm:cxn modelId="{B2250D9D-D975-6F45-88FC-D0DC99D9A8C7}" type="presOf" srcId="{AB263F0E-728F-FE41-A4FA-32CB4010D001}" destId="{1EC4C9F4-7C3C-F546-9A75-4A6C02413A49}" srcOrd="0" destOrd="0" presId="urn:microsoft.com/office/officeart/2008/layout/NameandTitleOrganizationalChart"/>
    <dgm:cxn modelId="{0AC305AB-4371-CD4E-9962-7334BF6805F6}" srcId="{A77DAC43-7634-2648-9E73-ED71B570873B}" destId="{02D0AECC-B621-7C41-8F24-A7C1FFF8BA77}" srcOrd="1" destOrd="0" parTransId="{A88FC3B7-7BDD-144B-A501-B0FB88604331}" sibTransId="{5ECB3F15-521D-6545-93C3-0922346CE294}"/>
    <dgm:cxn modelId="{4F1D80B8-BCCC-F642-BF24-16CDBE543F78}" type="presOf" srcId="{F674AC03-1E2B-DC40-9FD0-E2AD53C9A53E}" destId="{F71A014F-B905-3A49-8140-542683238173}" srcOrd="0" destOrd="0" presId="urn:microsoft.com/office/officeart/2008/layout/NameandTitleOrganizationalChart"/>
    <dgm:cxn modelId="{5EDC46BA-13A2-1E44-971A-819BDA7B2974}" type="presOf" srcId="{1EEF4DE9-65A8-C445-9F6F-A41C57896772}" destId="{BB1F9859-2F99-E844-A3BB-D7BC0F3AA199}" srcOrd="0" destOrd="0" presId="urn:microsoft.com/office/officeart/2008/layout/NameandTitleOrganizationalChart"/>
    <dgm:cxn modelId="{FEF824BB-FCB4-0741-B693-9139B7F5FC68}" type="presOf" srcId="{AC342FE4-6469-6E44-B0CA-65A572EA0CBC}" destId="{EE9FA669-5D8B-424A-BC8E-275ACAEC73F3}" srcOrd="0" destOrd="0" presId="urn:microsoft.com/office/officeart/2008/layout/NameandTitleOrganizationalChart"/>
    <dgm:cxn modelId="{84588ABD-A9CB-E74D-9E36-C09FB2DB8CDA}" type="presOf" srcId="{4B2585E2-6C20-9C48-93F8-D96349B5AFA0}" destId="{BD82C0AC-6929-0747-A137-94C07DCD4C13}" srcOrd="0" destOrd="0" presId="urn:microsoft.com/office/officeart/2008/layout/NameandTitleOrganizationalChart"/>
    <dgm:cxn modelId="{E7A4F3D1-7794-D84C-9307-6DA0F86CDDAB}" srcId="{A77DAC43-7634-2648-9E73-ED71B570873B}" destId="{5F0D4362-B1A0-3C4D-9058-6127602ADA31}" srcOrd="3" destOrd="0" parTransId="{888930DB-9EA8-1A47-8A2C-9B2EA29C14A2}" sibTransId="{AC342FE4-6469-6E44-B0CA-65A572EA0CBC}"/>
    <dgm:cxn modelId="{86A15ED5-38E2-9645-8CF1-C065039A8A48}" type="presOf" srcId="{D97DCEE5-74A2-5F48-B4F0-133AE26ABB7D}" destId="{4FE0CB17-39B9-454E-ACDD-437CE2BCE2BA}" srcOrd="0" destOrd="0" presId="urn:microsoft.com/office/officeart/2008/layout/NameandTitleOrganizationalChart"/>
    <dgm:cxn modelId="{57517ED8-0ED1-264A-A54B-73607B0D2EC9}" type="presOf" srcId="{AB263F0E-728F-FE41-A4FA-32CB4010D001}" destId="{2C580E0C-FCEC-9A4D-9253-EB797323BAA2}" srcOrd="1" destOrd="0" presId="urn:microsoft.com/office/officeart/2008/layout/NameandTitleOrganizationalChart"/>
    <dgm:cxn modelId="{84019CDB-BB32-864F-A54F-B18046590114}" type="presOf" srcId="{480C9F85-E1F5-B54D-BB30-4EDF7D034F70}" destId="{E31F7AD1-0446-EE4E-A362-C61882C1F9BF}" srcOrd="0" destOrd="0" presId="urn:microsoft.com/office/officeart/2008/layout/NameandTitleOrganizationalChart"/>
    <dgm:cxn modelId="{46E312E3-25AF-274B-B4BE-79D1D48AB2D8}" type="presOf" srcId="{D7DB8898-9ACC-2C4E-A8A5-366ACF5B331B}" destId="{7FE8195A-8615-2640-B8F9-BFB7EC13C4AF}" srcOrd="1" destOrd="0" presId="urn:microsoft.com/office/officeart/2008/layout/NameandTitleOrganizationalChart"/>
    <dgm:cxn modelId="{B4B93FE7-CE9E-1240-B810-C827D26F693D}" srcId="{A77DAC43-7634-2648-9E73-ED71B570873B}" destId="{480C9F85-E1F5-B54D-BB30-4EDF7D034F70}" srcOrd="2" destOrd="0" parTransId="{1EEF4DE9-65A8-C445-9F6F-A41C57896772}" sibTransId="{43392CD2-7DD1-754B-84B3-EE641C4CAFAD}"/>
    <dgm:cxn modelId="{4C8042E7-806F-4F40-9F48-A12CC553C3A5}" type="presOf" srcId="{A77DAC43-7634-2648-9E73-ED71B570873B}" destId="{CD4A200B-12F2-534F-87AF-5A50E29073DE}" srcOrd="1" destOrd="0" presId="urn:microsoft.com/office/officeart/2008/layout/NameandTitleOrganizationalChart"/>
    <dgm:cxn modelId="{FAC80FEA-5252-BB42-A93A-F43FDA914E69}" type="presOf" srcId="{6CB15F8A-1558-4145-AA9F-0D1C3C57817A}" destId="{7AE38EBC-1D2B-0744-94DB-B6CD2DE5A42C}" srcOrd="0" destOrd="0" presId="urn:microsoft.com/office/officeart/2008/layout/NameandTitleOrganizationalChart"/>
    <dgm:cxn modelId="{0E896AFB-15A1-364E-B0FA-EB10EABE840B}" type="presOf" srcId="{43392CD2-7DD1-754B-84B3-EE641C4CAFAD}" destId="{0427B89A-3D7B-F24E-8380-37243B28EA59}" srcOrd="0" destOrd="0" presId="urn:microsoft.com/office/officeart/2008/layout/NameandTitleOrganizationalChart"/>
    <dgm:cxn modelId="{8CCF1576-8CD1-D240-B5E0-9E1769AA4F71}" type="presParOf" srcId="{BD82C0AC-6929-0747-A137-94C07DCD4C13}" destId="{E1447A62-135C-E44D-8BB4-158C85A10840}" srcOrd="0" destOrd="0" presId="urn:microsoft.com/office/officeart/2008/layout/NameandTitleOrganizationalChart"/>
    <dgm:cxn modelId="{315C8229-3B2F-3D47-B7CD-4F9156E62A93}" type="presParOf" srcId="{E1447A62-135C-E44D-8BB4-158C85A10840}" destId="{CEED653F-1D22-FD44-9631-923F49F9CEBF}" srcOrd="0" destOrd="0" presId="urn:microsoft.com/office/officeart/2008/layout/NameandTitleOrganizationalChart"/>
    <dgm:cxn modelId="{1521F41D-1366-9B40-9C07-19EC3B4A1167}" type="presParOf" srcId="{CEED653F-1D22-FD44-9631-923F49F9CEBF}" destId="{F9353BC0-8118-8D45-80D9-60A88E1ED7DF}" srcOrd="0" destOrd="0" presId="urn:microsoft.com/office/officeart/2008/layout/NameandTitleOrganizationalChart"/>
    <dgm:cxn modelId="{D873ED8E-9B8A-1F49-8A4B-53FFBAD4BC58}" type="presParOf" srcId="{CEED653F-1D22-FD44-9631-923F49F9CEBF}" destId="{AA12F377-CA17-5547-8BBC-744F822F9C05}" srcOrd="1" destOrd="0" presId="urn:microsoft.com/office/officeart/2008/layout/NameandTitleOrganizationalChart"/>
    <dgm:cxn modelId="{254E4876-71EA-B640-A5B6-499E199276B2}" type="presParOf" srcId="{CEED653F-1D22-FD44-9631-923F49F9CEBF}" destId="{CD4A200B-12F2-534F-87AF-5A50E29073DE}" srcOrd="2" destOrd="0" presId="urn:microsoft.com/office/officeart/2008/layout/NameandTitleOrganizationalChart"/>
    <dgm:cxn modelId="{00144019-46EA-2747-B99B-778ED1E5338A}" type="presParOf" srcId="{E1447A62-135C-E44D-8BB4-158C85A10840}" destId="{5411B5CC-CCDB-1240-8A0B-CEC798BFF23B}" srcOrd="1" destOrd="0" presId="urn:microsoft.com/office/officeart/2008/layout/NameandTitleOrganizationalChart"/>
    <dgm:cxn modelId="{D17D9E7B-2B89-2043-9638-2ACBDD76051F}" type="presParOf" srcId="{5411B5CC-CCDB-1240-8A0B-CEC798BFF23B}" destId="{BB1F9859-2F99-E844-A3BB-D7BC0F3AA199}" srcOrd="0" destOrd="0" presId="urn:microsoft.com/office/officeart/2008/layout/NameandTitleOrganizationalChart"/>
    <dgm:cxn modelId="{DC14AD6C-9ADB-264F-AFD6-3F39AEBE2CFC}" type="presParOf" srcId="{5411B5CC-CCDB-1240-8A0B-CEC798BFF23B}" destId="{AEF4CA39-8597-BB42-8EB8-D0192320DCF2}" srcOrd="1" destOrd="0" presId="urn:microsoft.com/office/officeart/2008/layout/NameandTitleOrganizationalChart"/>
    <dgm:cxn modelId="{A79C537A-09F2-224A-B01A-A8978E3C3834}" type="presParOf" srcId="{AEF4CA39-8597-BB42-8EB8-D0192320DCF2}" destId="{8498427D-A21C-6D4B-A603-221E53712356}" srcOrd="0" destOrd="0" presId="urn:microsoft.com/office/officeart/2008/layout/NameandTitleOrganizationalChart"/>
    <dgm:cxn modelId="{A0B2C09D-CC86-A547-9D36-B5884E29B794}" type="presParOf" srcId="{8498427D-A21C-6D4B-A603-221E53712356}" destId="{E31F7AD1-0446-EE4E-A362-C61882C1F9BF}" srcOrd="0" destOrd="0" presId="urn:microsoft.com/office/officeart/2008/layout/NameandTitleOrganizationalChart"/>
    <dgm:cxn modelId="{B1913B19-4B91-364C-9E3D-601C12BEAB6D}" type="presParOf" srcId="{8498427D-A21C-6D4B-A603-221E53712356}" destId="{0427B89A-3D7B-F24E-8380-37243B28EA59}" srcOrd="1" destOrd="0" presId="urn:microsoft.com/office/officeart/2008/layout/NameandTitleOrganizationalChart"/>
    <dgm:cxn modelId="{F1B7BE02-EA16-B84D-9E9D-F714EE4F1A5D}" type="presParOf" srcId="{8498427D-A21C-6D4B-A603-221E53712356}" destId="{9F492FC0-875A-5643-AEAF-DF7D590C4498}" srcOrd="2" destOrd="0" presId="urn:microsoft.com/office/officeart/2008/layout/NameandTitleOrganizationalChart"/>
    <dgm:cxn modelId="{BCDF9646-1A80-5547-9EDB-2CB8E19CA47D}" type="presParOf" srcId="{AEF4CA39-8597-BB42-8EB8-D0192320DCF2}" destId="{30235482-A9C4-F94E-A9B8-8B5D915574D5}" srcOrd="1" destOrd="0" presId="urn:microsoft.com/office/officeart/2008/layout/NameandTitleOrganizationalChart"/>
    <dgm:cxn modelId="{AFB3A159-7CD1-0546-BF73-FE99EC209A8F}" type="presParOf" srcId="{AEF4CA39-8597-BB42-8EB8-D0192320DCF2}" destId="{DC9B2B28-2201-9D44-97AA-0A2B5D607948}" srcOrd="2" destOrd="0" presId="urn:microsoft.com/office/officeart/2008/layout/NameandTitleOrganizationalChart"/>
    <dgm:cxn modelId="{0AF7C108-3241-3447-9113-EE02FE797E53}" type="presParOf" srcId="{5411B5CC-CCDB-1240-8A0B-CEC798BFF23B}" destId="{625F1076-6F91-2B48-B274-5D476989F163}" srcOrd="2" destOrd="0" presId="urn:microsoft.com/office/officeart/2008/layout/NameandTitleOrganizationalChart"/>
    <dgm:cxn modelId="{467EFA7D-AECC-7340-8E71-3DD19A6EED19}" type="presParOf" srcId="{5411B5CC-CCDB-1240-8A0B-CEC798BFF23B}" destId="{B29211EC-00B6-8A49-A7FB-2FC08824D34B}" srcOrd="3" destOrd="0" presId="urn:microsoft.com/office/officeart/2008/layout/NameandTitleOrganizationalChart"/>
    <dgm:cxn modelId="{40FBCE0F-B17C-D14D-825A-1789274AB371}" type="presParOf" srcId="{B29211EC-00B6-8A49-A7FB-2FC08824D34B}" destId="{6F8988EB-2A30-5E49-AE9B-FBA92E4A14F3}" srcOrd="0" destOrd="0" presId="urn:microsoft.com/office/officeart/2008/layout/NameandTitleOrganizationalChart"/>
    <dgm:cxn modelId="{C9206B45-A60C-004A-890E-A8C4045EDD77}" type="presParOf" srcId="{6F8988EB-2A30-5E49-AE9B-FBA92E4A14F3}" destId="{9DB25656-3FF2-3E45-9F49-CD9724A9709A}" srcOrd="0" destOrd="0" presId="urn:microsoft.com/office/officeart/2008/layout/NameandTitleOrganizationalChart"/>
    <dgm:cxn modelId="{73DB2E60-5171-DA43-9227-BE0D0F6F4F23}" type="presParOf" srcId="{6F8988EB-2A30-5E49-AE9B-FBA92E4A14F3}" destId="{EE9FA669-5D8B-424A-BC8E-275ACAEC73F3}" srcOrd="1" destOrd="0" presId="urn:microsoft.com/office/officeart/2008/layout/NameandTitleOrganizationalChart"/>
    <dgm:cxn modelId="{3B66F5B7-1F53-C747-A46E-F81A62156339}" type="presParOf" srcId="{6F8988EB-2A30-5E49-AE9B-FBA92E4A14F3}" destId="{9788EF60-AFD9-4E4A-8C2A-667BB252AFA5}" srcOrd="2" destOrd="0" presId="urn:microsoft.com/office/officeart/2008/layout/NameandTitleOrganizationalChart"/>
    <dgm:cxn modelId="{B1F555C4-C44E-D544-9482-21A682F05644}" type="presParOf" srcId="{B29211EC-00B6-8A49-A7FB-2FC08824D34B}" destId="{C911086F-A4EE-2741-9B80-91F08C762A67}" srcOrd="1" destOrd="0" presId="urn:microsoft.com/office/officeart/2008/layout/NameandTitleOrganizationalChart"/>
    <dgm:cxn modelId="{EC3B7D01-78C1-9E4D-8281-B93BE9C9BE68}" type="presParOf" srcId="{B29211EC-00B6-8A49-A7FB-2FC08824D34B}" destId="{8494232F-8AC2-984B-A077-EB450C3EC58B}" srcOrd="2" destOrd="0" presId="urn:microsoft.com/office/officeart/2008/layout/NameandTitleOrganizationalChart"/>
    <dgm:cxn modelId="{DAEE60C9-BB36-2443-9EBB-9DEE3D5D3090}" type="presParOf" srcId="{5411B5CC-CCDB-1240-8A0B-CEC798BFF23B}" destId="{1725E451-F805-7A47-9A38-A66526EE42EF}" srcOrd="4" destOrd="0" presId="urn:microsoft.com/office/officeart/2008/layout/NameandTitleOrganizationalChart"/>
    <dgm:cxn modelId="{E305F099-6A54-2142-8BC3-9A521074E2E6}" type="presParOf" srcId="{5411B5CC-CCDB-1240-8A0B-CEC798BFF23B}" destId="{C8D6AC67-B1F0-604E-A257-2371509388CF}" srcOrd="5" destOrd="0" presId="urn:microsoft.com/office/officeart/2008/layout/NameandTitleOrganizationalChart"/>
    <dgm:cxn modelId="{E4560D14-6C04-9D40-AD0B-AEEE74D8AADB}" type="presParOf" srcId="{C8D6AC67-B1F0-604E-A257-2371509388CF}" destId="{4B41C9AB-6A30-514C-B9FC-AEED4C7D11C3}" srcOrd="0" destOrd="0" presId="urn:microsoft.com/office/officeart/2008/layout/NameandTitleOrganizationalChart"/>
    <dgm:cxn modelId="{1C974FDB-00B0-9C49-B779-A8B21F25824D}" type="presParOf" srcId="{4B41C9AB-6A30-514C-B9FC-AEED4C7D11C3}" destId="{AF7F7512-4DE1-0548-BA10-848A88768928}" srcOrd="0" destOrd="0" presId="urn:microsoft.com/office/officeart/2008/layout/NameandTitleOrganizationalChart"/>
    <dgm:cxn modelId="{4CA5E067-8C29-6B4B-89C8-C8DEC335E6B1}" type="presParOf" srcId="{4B41C9AB-6A30-514C-B9FC-AEED4C7D11C3}" destId="{46783C10-A24D-1C4C-AEEB-8D85F583E47E}" srcOrd="1" destOrd="0" presId="urn:microsoft.com/office/officeart/2008/layout/NameandTitleOrganizationalChart"/>
    <dgm:cxn modelId="{ACC2D20A-247A-014D-BFE4-7C20441E2688}" type="presParOf" srcId="{4B41C9AB-6A30-514C-B9FC-AEED4C7D11C3}" destId="{7FE8195A-8615-2640-B8F9-BFB7EC13C4AF}" srcOrd="2" destOrd="0" presId="urn:microsoft.com/office/officeart/2008/layout/NameandTitleOrganizationalChart"/>
    <dgm:cxn modelId="{341ABBD2-FD42-2142-B87B-DF2082FCD584}" type="presParOf" srcId="{C8D6AC67-B1F0-604E-A257-2371509388CF}" destId="{5EE62601-543F-3C48-8B25-02E69D2FA7BE}" srcOrd="1" destOrd="0" presId="urn:microsoft.com/office/officeart/2008/layout/NameandTitleOrganizationalChart"/>
    <dgm:cxn modelId="{E9067E2E-E98B-0444-928F-A815C0E72369}" type="presParOf" srcId="{C8D6AC67-B1F0-604E-A257-2371509388CF}" destId="{D1AFA31D-F0A9-F94F-B898-4F0C825F7D77}" srcOrd="2" destOrd="0" presId="urn:microsoft.com/office/officeart/2008/layout/NameandTitleOrganizationalChart"/>
    <dgm:cxn modelId="{91E7E69C-AB70-9A44-B8AB-75F182CD5275}" type="presParOf" srcId="{E1447A62-135C-E44D-8BB4-158C85A10840}" destId="{DD2D3FE5-544B-AD47-9F1A-B8A27FBC79F0}" srcOrd="2" destOrd="0" presId="urn:microsoft.com/office/officeart/2008/layout/NameandTitleOrganizationalChart"/>
    <dgm:cxn modelId="{54D8B530-02D1-DE44-BEF4-C47333B0B41E}" type="presParOf" srcId="{DD2D3FE5-544B-AD47-9F1A-B8A27FBC79F0}" destId="{68AC54F9-5272-5B4A-8463-2F7B0B7C8132}" srcOrd="0" destOrd="0" presId="urn:microsoft.com/office/officeart/2008/layout/NameandTitleOrganizationalChart"/>
    <dgm:cxn modelId="{26E185DE-44CC-0543-8F25-76BA058F531D}" type="presParOf" srcId="{DD2D3FE5-544B-AD47-9F1A-B8A27FBC79F0}" destId="{9BFC76F5-2EE1-5545-A1E8-020FDA53B977}" srcOrd="1" destOrd="0" presId="urn:microsoft.com/office/officeart/2008/layout/NameandTitleOrganizationalChart"/>
    <dgm:cxn modelId="{0CB4D173-A144-A249-872E-7775ADC441AB}" type="presParOf" srcId="{9BFC76F5-2EE1-5545-A1E8-020FDA53B977}" destId="{E303778E-FD40-5042-BCB1-20B8C8271FF1}" srcOrd="0" destOrd="0" presId="urn:microsoft.com/office/officeart/2008/layout/NameandTitleOrganizationalChart"/>
    <dgm:cxn modelId="{6C04EAF0-52E4-0745-AA44-04FAB48AEAFD}" type="presParOf" srcId="{E303778E-FD40-5042-BCB1-20B8C8271FF1}" destId="{7AE38EBC-1D2B-0744-94DB-B6CD2DE5A42C}" srcOrd="0" destOrd="0" presId="urn:microsoft.com/office/officeart/2008/layout/NameandTitleOrganizationalChart"/>
    <dgm:cxn modelId="{657DEB17-7D26-9D46-BC29-7DE8B6D110DB}" type="presParOf" srcId="{E303778E-FD40-5042-BCB1-20B8C8271FF1}" destId="{AEAA8486-B9D0-C14F-B816-FABFA24E945C}" srcOrd="1" destOrd="0" presId="urn:microsoft.com/office/officeart/2008/layout/NameandTitleOrganizationalChart"/>
    <dgm:cxn modelId="{277FEF48-5965-D64D-931F-46E11DAEACE3}" type="presParOf" srcId="{E303778E-FD40-5042-BCB1-20B8C8271FF1}" destId="{F9E654E4-F5DF-394F-A857-04DDE10247CD}" srcOrd="2" destOrd="0" presId="urn:microsoft.com/office/officeart/2008/layout/NameandTitleOrganizationalChart"/>
    <dgm:cxn modelId="{D0DE821B-EF13-C945-8444-91E136AC5B61}" type="presParOf" srcId="{9BFC76F5-2EE1-5545-A1E8-020FDA53B977}" destId="{53C20D50-5731-7A4C-A02E-3A0F0E7DF379}" srcOrd="1" destOrd="0" presId="urn:microsoft.com/office/officeart/2008/layout/NameandTitleOrganizationalChart"/>
    <dgm:cxn modelId="{F437CDBD-261F-6948-9EDD-215F1FCC997F}" type="presParOf" srcId="{9BFC76F5-2EE1-5545-A1E8-020FDA53B977}" destId="{FC332492-1A09-AD4B-9309-AF73D6255FBF}" srcOrd="2" destOrd="0" presId="urn:microsoft.com/office/officeart/2008/layout/NameandTitleOrganizationalChart"/>
    <dgm:cxn modelId="{B36E8A8A-ED05-CF4F-9C4C-7A76BE179A71}" type="presParOf" srcId="{DD2D3FE5-544B-AD47-9F1A-B8A27FBC79F0}" destId="{A558574C-134B-7742-A451-B869DB6D4FAB}" srcOrd="2" destOrd="0" presId="urn:microsoft.com/office/officeart/2008/layout/NameandTitleOrganizationalChart"/>
    <dgm:cxn modelId="{26C9B9F2-1615-8D40-845D-70CEB69B30CD}" type="presParOf" srcId="{DD2D3FE5-544B-AD47-9F1A-B8A27FBC79F0}" destId="{17DD6BE5-8738-974B-99DC-736767336C0E}" srcOrd="3" destOrd="0" presId="urn:microsoft.com/office/officeart/2008/layout/NameandTitleOrganizationalChart"/>
    <dgm:cxn modelId="{B9269353-9A9B-5649-949B-8C94C2F6CC65}" type="presParOf" srcId="{17DD6BE5-8738-974B-99DC-736767336C0E}" destId="{47BE6236-C443-A340-A63E-49559A938DDE}" srcOrd="0" destOrd="0" presId="urn:microsoft.com/office/officeart/2008/layout/NameandTitleOrganizationalChart"/>
    <dgm:cxn modelId="{66C605FE-FAC9-634D-A8E5-41E37CC6DC72}" type="presParOf" srcId="{47BE6236-C443-A340-A63E-49559A938DDE}" destId="{DEEFEDFE-2866-EE4D-8C2C-77BB53591A7B}" srcOrd="0" destOrd="0" presId="urn:microsoft.com/office/officeart/2008/layout/NameandTitleOrganizationalChart"/>
    <dgm:cxn modelId="{DA525D1E-0458-324F-BA88-88E9B3575702}" type="presParOf" srcId="{47BE6236-C443-A340-A63E-49559A938DDE}" destId="{58DCCAB3-526B-AF4F-87EA-CD6BA11237E1}" srcOrd="1" destOrd="0" presId="urn:microsoft.com/office/officeart/2008/layout/NameandTitleOrganizationalChart"/>
    <dgm:cxn modelId="{DCCB8DF1-7E70-DC43-8B21-D015F9577202}" type="presParOf" srcId="{47BE6236-C443-A340-A63E-49559A938DDE}" destId="{CF022384-190C-9644-8507-0C487A8BF520}" srcOrd="2" destOrd="0" presId="urn:microsoft.com/office/officeart/2008/layout/NameandTitleOrganizationalChart"/>
    <dgm:cxn modelId="{C6EFA8BB-316A-D641-9963-C4E2680BEF2E}" type="presParOf" srcId="{17DD6BE5-8738-974B-99DC-736767336C0E}" destId="{3B14C277-5E6C-A740-AAE9-0028710FB380}" srcOrd="1" destOrd="0" presId="urn:microsoft.com/office/officeart/2008/layout/NameandTitleOrganizationalChart"/>
    <dgm:cxn modelId="{3D9B9BB4-3A8C-E140-9223-A9C395FCDA25}" type="presParOf" srcId="{17DD6BE5-8738-974B-99DC-736767336C0E}" destId="{A3E6496B-123E-9946-AD60-5E300F2CB285}" srcOrd="2" destOrd="0" presId="urn:microsoft.com/office/officeart/2008/layout/NameandTitleOrganizationalChart"/>
    <dgm:cxn modelId="{FF928752-8373-574D-8F68-8AF2F5D8421C}" type="presParOf" srcId="{A3E6496B-123E-9946-AD60-5E300F2CB285}" destId="{C1418306-8353-3743-A4AD-D157A90DB0F3}" srcOrd="0" destOrd="0" presId="urn:microsoft.com/office/officeart/2008/layout/NameandTitleOrganizationalChart"/>
    <dgm:cxn modelId="{BD9D44E7-CF21-FB4E-96D2-CA77E2A19B8F}" type="presParOf" srcId="{A3E6496B-123E-9946-AD60-5E300F2CB285}" destId="{0C94EE6E-27AB-044F-B6B1-2D40E0A855A5}" srcOrd="1" destOrd="0" presId="urn:microsoft.com/office/officeart/2008/layout/NameandTitleOrganizationalChart"/>
    <dgm:cxn modelId="{F5E79588-2055-8946-A4B9-9FED2F599063}" type="presParOf" srcId="{0C94EE6E-27AB-044F-B6B1-2D40E0A855A5}" destId="{58ABA7FE-4C44-274C-8054-B1B89E11B60A}" srcOrd="0" destOrd="0" presId="urn:microsoft.com/office/officeart/2008/layout/NameandTitleOrganizationalChart"/>
    <dgm:cxn modelId="{CFF1FF71-CD27-E64C-BF7C-3B05E603E319}" type="presParOf" srcId="{58ABA7FE-4C44-274C-8054-B1B89E11B60A}" destId="{1EC4C9F4-7C3C-F546-9A75-4A6C02413A49}" srcOrd="0" destOrd="0" presId="urn:microsoft.com/office/officeart/2008/layout/NameandTitleOrganizationalChart"/>
    <dgm:cxn modelId="{5AB2A3BA-113B-6949-B1A3-66F231D28CA5}" type="presParOf" srcId="{58ABA7FE-4C44-274C-8054-B1B89E11B60A}" destId="{30C84345-AD4B-564A-8986-29612107DACC}" srcOrd="1" destOrd="0" presId="urn:microsoft.com/office/officeart/2008/layout/NameandTitleOrganizationalChart"/>
    <dgm:cxn modelId="{45685493-D6FB-0941-9775-72D1C48F3796}" type="presParOf" srcId="{58ABA7FE-4C44-274C-8054-B1B89E11B60A}" destId="{2C580E0C-FCEC-9A4D-9253-EB797323BAA2}" srcOrd="2" destOrd="0" presId="urn:microsoft.com/office/officeart/2008/layout/NameandTitleOrganizationalChart"/>
    <dgm:cxn modelId="{FC3543CE-52C0-0145-B926-1F174F828564}" type="presParOf" srcId="{0C94EE6E-27AB-044F-B6B1-2D40E0A855A5}" destId="{3EDFF694-2D89-374A-A24D-3D6F769387E7}" srcOrd="1" destOrd="0" presId="urn:microsoft.com/office/officeart/2008/layout/NameandTitleOrganizationalChart"/>
    <dgm:cxn modelId="{F326324A-8BB8-094B-99BB-63C896A12BB5}" type="presParOf" srcId="{0C94EE6E-27AB-044F-B6B1-2D40E0A855A5}" destId="{4D833A5C-8E8B-E34D-995E-E3A514CA31A1}" srcOrd="2" destOrd="0" presId="urn:microsoft.com/office/officeart/2008/layout/NameandTitleOrganizationalChart"/>
    <dgm:cxn modelId="{5EA64E93-AAD9-8548-BDB3-6DE263FD16A2}" type="presParOf" srcId="{A3E6496B-123E-9946-AD60-5E300F2CB285}" destId="{E373F789-FB95-3B4C-9C02-7E6A483DFE81}" srcOrd="2" destOrd="0" presId="urn:microsoft.com/office/officeart/2008/layout/NameandTitleOrganizationalChart"/>
    <dgm:cxn modelId="{4FF4D5AF-EC79-8F46-84E0-B238F95A45E6}" type="presParOf" srcId="{A3E6496B-123E-9946-AD60-5E300F2CB285}" destId="{F68C1361-4671-854E-B2A7-BF978F43C19C}" srcOrd="3" destOrd="0" presId="urn:microsoft.com/office/officeart/2008/layout/NameandTitleOrganizationalChart"/>
    <dgm:cxn modelId="{112165B6-2C71-DF4F-9730-DB35DCC446D1}" type="presParOf" srcId="{F68C1361-4671-854E-B2A7-BF978F43C19C}" destId="{D3B0D608-AFE8-2844-BE19-6BFD7CCA072C}" srcOrd="0" destOrd="0" presId="urn:microsoft.com/office/officeart/2008/layout/NameandTitleOrganizationalChart"/>
    <dgm:cxn modelId="{593B620B-40D8-F745-9468-5977BD477A1C}" type="presParOf" srcId="{D3B0D608-AFE8-2844-BE19-6BFD7CCA072C}" destId="{F71A014F-B905-3A49-8140-542683238173}" srcOrd="0" destOrd="0" presId="urn:microsoft.com/office/officeart/2008/layout/NameandTitleOrganizationalChart"/>
    <dgm:cxn modelId="{4E0FC2E8-0FD2-C945-A84D-2B2E0A45321C}" type="presParOf" srcId="{D3B0D608-AFE8-2844-BE19-6BFD7CCA072C}" destId="{A4006D0D-F84A-134C-AE14-5808D1AA8E6B}" srcOrd="1" destOrd="0" presId="urn:microsoft.com/office/officeart/2008/layout/NameandTitleOrganizationalChart"/>
    <dgm:cxn modelId="{631778D2-31AE-3D48-9338-3BB06B6618AA}" type="presParOf" srcId="{D3B0D608-AFE8-2844-BE19-6BFD7CCA072C}" destId="{AF990030-F7C5-A149-8DD8-BA446C8684B3}" srcOrd="2" destOrd="0" presId="urn:microsoft.com/office/officeart/2008/layout/NameandTitleOrganizationalChart"/>
    <dgm:cxn modelId="{69B5FCF3-B584-3D49-9A2F-4174600A72C3}" type="presParOf" srcId="{F68C1361-4671-854E-B2A7-BF978F43C19C}" destId="{0B3810B4-A9FF-5F4E-ABF0-68535EE35073}" srcOrd="1" destOrd="0" presId="urn:microsoft.com/office/officeart/2008/layout/NameandTitleOrganizationalChart"/>
    <dgm:cxn modelId="{91911E3F-1384-C743-BB16-2D63B0160037}" type="presParOf" srcId="{F68C1361-4671-854E-B2A7-BF978F43C19C}" destId="{CF4B0A7C-A1C8-8E47-8FA5-33386DCE8760}" srcOrd="2" destOrd="0" presId="urn:microsoft.com/office/officeart/2008/layout/NameandTitleOrganizationalChart"/>
    <dgm:cxn modelId="{A0D0B407-A9FB-9849-BDA6-653C62830ED8}" type="presParOf" srcId="{A3E6496B-123E-9946-AD60-5E300F2CB285}" destId="{2A2CEDDA-EF29-B54A-9D53-148A9E219B04}" srcOrd="4" destOrd="0" presId="urn:microsoft.com/office/officeart/2008/layout/NameandTitleOrganizationalChart"/>
    <dgm:cxn modelId="{73428566-1B66-824B-AEBA-194C59BA1667}" type="presParOf" srcId="{A3E6496B-123E-9946-AD60-5E300F2CB285}" destId="{7C5AC114-6DE4-1B42-8B8B-732B697C947E}" srcOrd="5" destOrd="0" presId="urn:microsoft.com/office/officeart/2008/layout/NameandTitleOrganizationalChart"/>
    <dgm:cxn modelId="{C8EFFCAD-1424-1F49-911D-99BC7058C799}" type="presParOf" srcId="{7C5AC114-6DE4-1B42-8B8B-732B697C947E}" destId="{16BC4400-BDF3-A940-AC17-828CE726F153}" srcOrd="0" destOrd="0" presId="urn:microsoft.com/office/officeart/2008/layout/NameandTitleOrganizationalChart"/>
    <dgm:cxn modelId="{685D1DAF-1708-0F40-9571-1B015264DC3E}" type="presParOf" srcId="{16BC4400-BDF3-A940-AC17-828CE726F153}" destId="{C0CE6219-918F-BA41-AF65-044FB02F11A3}" srcOrd="0" destOrd="0" presId="urn:microsoft.com/office/officeart/2008/layout/NameandTitleOrganizationalChart"/>
    <dgm:cxn modelId="{04CDDEDF-56BC-A840-ACD8-B99AED13EB9B}" type="presParOf" srcId="{16BC4400-BDF3-A940-AC17-828CE726F153}" destId="{4FE0CB17-39B9-454E-ACDD-437CE2BCE2BA}" srcOrd="1" destOrd="0" presId="urn:microsoft.com/office/officeart/2008/layout/NameandTitleOrganizationalChart"/>
    <dgm:cxn modelId="{E685EDCB-BB80-8340-B1A9-084A4562C15F}" type="presParOf" srcId="{16BC4400-BDF3-A940-AC17-828CE726F153}" destId="{83D9B3C1-36E3-3649-9811-9203F66FAC26}" srcOrd="2" destOrd="0" presId="urn:microsoft.com/office/officeart/2008/layout/NameandTitleOrganizationalChart"/>
    <dgm:cxn modelId="{9BE80FA2-7CB2-9E40-BCD7-841A2FD4B359}" type="presParOf" srcId="{7C5AC114-6DE4-1B42-8B8B-732B697C947E}" destId="{CD605557-B517-3343-8254-27149796EA53}" srcOrd="1" destOrd="0" presId="urn:microsoft.com/office/officeart/2008/layout/NameandTitleOrganizationalChart"/>
    <dgm:cxn modelId="{B211A82E-45ED-5344-9D89-A58603974E50}" type="presParOf" srcId="{7C5AC114-6DE4-1B42-8B8B-732B697C947E}" destId="{0510C4D0-C1A8-EB47-BE54-D64DABCEF21B}" srcOrd="2" destOrd="0" presId="urn:microsoft.com/office/officeart/2008/layout/NameandTitleOrganizationalChart"/>
  </dgm:cxnLst>
  <dgm:bg/>
  <dgm:whole/>
  <dgm:extLst>
    <a:ext uri="http://schemas.microsoft.com/office/drawing/2008/diagram">
      <dsp:dataModelExt xmlns:dsp="http://schemas.microsoft.com/office/drawing/2008/diagram" relId="rId11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2A2CEDDA-EF29-B54A-9D53-148A9E219B04}">
      <dsp:nvSpPr>
        <dsp:cNvPr id="0" name=""/>
        <dsp:cNvSpPr/>
      </dsp:nvSpPr>
      <dsp:spPr>
        <a:xfrm>
          <a:off x="2770371" y="868755"/>
          <a:ext cx="111158" cy="894770"/>
        </a:xfrm>
        <a:custGeom>
          <a:avLst/>
          <a:gdLst/>
          <a:ahLst/>
          <a:cxnLst/>
          <a:rect l="0" t="0" r="0" b="0"/>
          <a:pathLst>
            <a:path>
              <a:moveTo>
                <a:pt x="111158" y="0"/>
              </a:moveTo>
              <a:lnTo>
                <a:pt x="111158" y="894770"/>
              </a:lnTo>
              <a:lnTo>
                <a:pt x="0" y="894770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E373F789-FB95-3B4C-9C02-7E6A483DFE81}">
      <dsp:nvSpPr>
        <dsp:cNvPr id="0" name=""/>
        <dsp:cNvSpPr/>
      </dsp:nvSpPr>
      <dsp:spPr>
        <a:xfrm>
          <a:off x="2881530" y="868755"/>
          <a:ext cx="111158" cy="36314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3149"/>
              </a:lnTo>
              <a:lnTo>
                <a:pt x="111158" y="363149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C1418306-8353-3743-A4AD-D157A90DB0F3}">
      <dsp:nvSpPr>
        <dsp:cNvPr id="0" name=""/>
        <dsp:cNvSpPr/>
      </dsp:nvSpPr>
      <dsp:spPr>
        <a:xfrm>
          <a:off x="2770371" y="868755"/>
          <a:ext cx="111158" cy="363149"/>
        </a:xfrm>
        <a:custGeom>
          <a:avLst/>
          <a:gdLst/>
          <a:ahLst/>
          <a:cxnLst/>
          <a:rect l="0" t="0" r="0" b="0"/>
          <a:pathLst>
            <a:path>
              <a:moveTo>
                <a:pt x="111158" y="0"/>
              </a:moveTo>
              <a:lnTo>
                <a:pt x="111158" y="363149"/>
              </a:lnTo>
              <a:lnTo>
                <a:pt x="0" y="363149"/>
              </a:lnTo>
            </a:path>
          </a:pathLst>
        </a:custGeom>
        <a:noFill/>
        <a:ln w="12700" cap="flat" cmpd="sng" algn="ctr">
          <a:solidFill>
            <a:schemeClr val="accent3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A558574C-134B-7742-A451-B869DB6D4FAB}">
      <dsp:nvSpPr>
        <dsp:cNvPr id="0" name=""/>
        <dsp:cNvSpPr/>
      </dsp:nvSpPr>
      <dsp:spPr>
        <a:xfrm>
          <a:off x="2008436" y="337134"/>
          <a:ext cx="547705" cy="36314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363149"/>
              </a:lnTo>
              <a:lnTo>
                <a:pt x="547705" y="36314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8AC54F9-5272-5B4A-8463-2F7B0B7C8132}">
      <dsp:nvSpPr>
        <dsp:cNvPr id="0" name=""/>
        <dsp:cNvSpPr/>
      </dsp:nvSpPr>
      <dsp:spPr>
        <a:xfrm>
          <a:off x="1897277" y="337134"/>
          <a:ext cx="111158" cy="363149"/>
        </a:xfrm>
        <a:custGeom>
          <a:avLst/>
          <a:gdLst/>
          <a:ahLst/>
          <a:cxnLst/>
          <a:rect l="0" t="0" r="0" b="0"/>
          <a:pathLst>
            <a:path>
              <a:moveTo>
                <a:pt x="111158" y="0"/>
              </a:moveTo>
              <a:lnTo>
                <a:pt x="111158" y="363149"/>
              </a:lnTo>
              <a:lnTo>
                <a:pt x="0" y="363149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1725E451-F805-7A47-9A38-A66526EE42EF}">
      <dsp:nvSpPr>
        <dsp:cNvPr id="0" name=""/>
        <dsp:cNvSpPr/>
      </dsp:nvSpPr>
      <dsp:spPr>
        <a:xfrm>
          <a:off x="2008436" y="337134"/>
          <a:ext cx="873093" cy="178954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0" y="1710921"/>
              </a:lnTo>
              <a:lnTo>
                <a:pt x="873093" y="1710921"/>
              </a:lnTo>
              <a:lnTo>
                <a:pt x="873093" y="178954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625F1076-6F91-2B48-B274-5D476989F163}">
      <dsp:nvSpPr>
        <dsp:cNvPr id="0" name=""/>
        <dsp:cNvSpPr/>
      </dsp:nvSpPr>
      <dsp:spPr>
        <a:xfrm>
          <a:off x="1962716" y="337134"/>
          <a:ext cx="91440" cy="1789541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45720" y="178954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BB1F9859-2F99-E844-A3BB-D7BC0F3AA199}">
      <dsp:nvSpPr>
        <dsp:cNvPr id="0" name=""/>
        <dsp:cNvSpPr/>
      </dsp:nvSpPr>
      <dsp:spPr>
        <a:xfrm>
          <a:off x="1135342" y="337134"/>
          <a:ext cx="873093" cy="1789541"/>
        </a:xfrm>
        <a:custGeom>
          <a:avLst/>
          <a:gdLst/>
          <a:ahLst/>
          <a:cxnLst/>
          <a:rect l="0" t="0" r="0" b="0"/>
          <a:pathLst>
            <a:path>
              <a:moveTo>
                <a:pt x="873093" y="0"/>
              </a:moveTo>
              <a:lnTo>
                <a:pt x="873093" y="1710921"/>
              </a:lnTo>
              <a:lnTo>
                <a:pt x="0" y="1710921"/>
              </a:lnTo>
              <a:lnTo>
                <a:pt x="0" y="1789541"/>
              </a:lnTo>
            </a:path>
          </a:pathLst>
        </a:custGeom>
        <a:noFill/>
        <a:ln w="12700" cap="flat" cmpd="sng" algn="ctr">
          <a:solidFill>
            <a:schemeClr val="accent2">
              <a:hueOff val="0"/>
              <a:satOff val="0"/>
              <a:lumOff val="0"/>
              <a:alphaOff val="0"/>
            </a:schemeClr>
          </a:solidFill>
          <a:prstDash val="solid"/>
          <a:miter lim="800000"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-110000"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</dsp:sp>
    <dsp:sp modelId="{F9353BC0-8118-8D45-80D9-60A88E1ED7DF}">
      <dsp:nvSpPr>
        <dsp:cNvPr id="0" name=""/>
        <dsp:cNvSpPr/>
      </dsp:nvSpPr>
      <dsp:spPr>
        <a:xfrm>
          <a:off x="1683048" y="191"/>
          <a:ext cx="650776" cy="33694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Gerencia</a:t>
          </a:r>
        </a:p>
      </dsp:txBody>
      <dsp:txXfrm>
        <a:off x="1683048" y="191"/>
        <a:ext cx="650776" cy="336943"/>
      </dsp:txXfrm>
    </dsp:sp>
    <dsp:sp modelId="{AA12F377-CA17-5547-8BBC-744F822F9C05}">
      <dsp:nvSpPr>
        <dsp:cNvPr id="0" name=""/>
        <dsp:cNvSpPr/>
      </dsp:nvSpPr>
      <dsp:spPr>
        <a:xfrm>
          <a:off x="1813203" y="262258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1813203" y="262258"/>
        <a:ext cx="585698" cy="112314"/>
      </dsp:txXfrm>
    </dsp:sp>
    <dsp:sp modelId="{E31F7AD1-0446-EE4E-A362-C61882C1F9BF}">
      <dsp:nvSpPr>
        <dsp:cNvPr id="0" name=""/>
        <dsp:cNvSpPr/>
      </dsp:nvSpPr>
      <dsp:spPr>
        <a:xfrm>
          <a:off x="809954" y="2126676"/>
          <a:ext cx="650776" cy="336943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Dirección financiera</a:t>
          </a:r>
        </a:p>
      </dsp:txBody>
      <dsp:txXfrm>
        <a:off x="809954" y="2126676"/>
        <a:ext cx="650776" cy="336943"/>
      </dsp:txXfrm>
    </dsp:sp>
    <dsp:sp modelId="{0427B89A-3D7B-F24E-8380-37243B28EA59}">
      <dsp:nvSpPr>
        <dsp:cNvPr id="0" name=""/>
        <dsp:cNvSpPr/>
      </dsp:nvSpPr>
      <dsp:spPr>
        <a:xfrm>
          <a:off x="940110" y="2388743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940110" y="2388743"/>
        <a:ext cx="585698" cy="112314"/>
      </dsp:txXfrm>
    </dsp:sp>
    <dsp:sp modelId="{9DB25656-3FF2-3E45-9F49-CD9724A9709A}">
      <dsp:nvSpPr>
        <dsp:cNvPr id="0" name=""/>
        <dsp:cNvSpPr/>
      </dsp:nvSpPr>
      <dsp:spPr>
        <a:xfrm>
          <a:off x="1683048" y="2126676"/>
          <a:ext cx="650776" cy="336943"/>
        </a:xfrm>
        <a:prstGeom prst="rect">
          <a:avLst/>
        </a:prstGeom>
        <a:solidFill>
          <a:schemeClr val="accent3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Dirección Adm</a:t>
          </a:r>
        </a:p>
      </dsp:txBody>
      <dsp:txXfrm>
        <a:off x="1683048" y="2126676"/>
        <a:ext cx="650776" cy="336943"/>
      </dsp:txXfrm>
    </dsp:sp>
    <dsp:sp modelId="{EE9FA669-5D8B-424A-BC8E-275ACAEC73F3}">
      <dsp:nvSpPr>
        <dsp:cNvPr id="0" name=""/>
        <dsp:cNvSpPr/>
      </dsp:nvSpPr>
      <dsp:spPr>
        <a:xfrm>
          <a:off x="1813203" y="2388743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1813203" y="2388743"/>
        <a:ext cx="585698" cy="112314"/>
      </dsp:txXfrm>
    </dsp:sp>
    <dsp:sp modelId="{AF7F7512-4DE1-0548-BA10-848A88768928}">
      <dsp:nvSpPr>
        <dsp:cNvPr id="0" name=""/>
        <dsp:cNvSpPr/>
      </dsp:nvSpPr>
      <dsp:spPr>
        <a:xfrm>
          <a:off x="2556142" y="2126676"/>
          <a:ext cx="650776" cy="336943"/>
        </a:xfrm>
        <a:prstGeom prst="rect">
          <a:avLst/>
        </a:prstGeom>
        <a:solidFill>
          <a:schemeClr val="accent4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2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Dirección RRHH</a:t>
          </a:r>
        </a:p>
      </dsp:txBody>
      <dsp:txXfrm>
        <a:off x="2556142" y="2126676"/>
        <a:ext cx="650776" cy="336943"/>
      </dsp:txXfrm>
    </dsp:sp>
    <dsp:sp modelId="{46783C10-A24D-1C4C-AEEB-8D85F583E47E}">
      <dsp:nvSpPr>
        <dsp:cNvPr id="0" name=""/>
        <dsp:cNvSpPr/>
      </dsp:nvSpPr>
      <dsp:spPr>
        <a:xfrm>
          <a:off x="2686297" y="2388743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2686297" y="2388743"/>
        <a:ext cx="585698" cy="112314"/>
      </dsp:txXfrm>
    </dsp:sp>
    <dsp:sp modelId="{7AE38EBC-1D2B-0744-94DB-B6CD2DE5A42C}">
      <dsp:nvSpPr>
        <dsp:cNvPr id="0" name=""/>
        <dsp:cNvSpPr/>
      </dsp:nvSpPr>
      <dsp:spPr>
        <a:xfrm>
          <a:off x="1246501" y="531812"/>
          <a:ext cx="650776" cy="336943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Subgerencia</a:t>
          </a:r>
        </a:p>
      </dsp:txBody>
      <dsp:txXfrm>
        <a:off x="1246501" y="531812"/>
        <a:ext cx="650776" cy="336943"/>
      </dsp:txXfrm>
    </dsp:sp>
    <dsp:sp modelId="{AEAA8486-B9D0-C14F-B816-FABFA24E945C}">
      <dsp:nvSpPr>
        <dsp:cNvPr id="0" name=""/>
        <dsp:cNvSpPr/>
      </dsp:nvSpPr>
      <dsp:spPr>
        <a:xfrm>
          <a:off x="1376656" y="793879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1376656" y="793879"/>
        <a:ext cx="585698" cy="112314"/>
      </dsp:txXfrm>
    </dsp:sp>
    <dsp:sp modelId="{DEEFEDFE-2866-EE4D-8C2C-77BB53591A7B}">
      <dsp:nvSpPr>
        <dsp:cNvPr id="0" name=""/>
        <dsp:cNvSpPr/>
      </dsp:nvSpPr>
      <dsp:spPr>
        <a:xfrm>
          <a:off x="2556142" y="531812"/>
          <a:ext cx="650776" cy="336943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Subdirección</a:t>
          </a:r>
        </a:p>
      </dsp:txBody>
      <dsp:txXfrm>
        <a:off x="2556142" y="531812"/>
        <a:ext cx="650776" cy="336943"/>
      </dsp:txXfrm>
    </dsp:sp>
    <dsp:sp modelId="{58DCCAB3-526B-AF4F-87EA-CD6BA11237E1}">
      <dsp:nvSpPr>
        <dsp:cNvPr id="0" name=""/>
        <dsp:cNvSpPr/>
      </dsp:nvSpPr>
      <dsp:spPr>
        <a:xfrm>
          <a:off x="2686297" y="793879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2686297" y="793879"/>
        <a:ext cx="585698" cy="112314"/>
      </dsp:txXfrm>
    </dsp:sp>
    <dsp:sp modelId="{1EC4C9F4-7C3C-F546-9A75-4A6C02413A49}">
      <dsp:nvSpPr>
        <dsp:cNvPr id="0" name=""/>
        <dsp:cNvSpPr/>
      </dsp:nvSpPr>
      <dsp:spPr>
        <a:xfrm>
          <a:off x="2119595" y="1063433"/>
          <a:ext cx="650776" cy="336943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Jefe de agencia</a:t>
          </a:r>
        </a:p>
      </dsp:txBody>
      <dsp:txXfrm>
        <a:off x="2119595" y="1063433"/>
        <a:ext cx="650776" cy="336943"/>
      </dsp:txXfrm>
    </dsp:sp>
    <dsp:sp modelId="{30C84345-AD4B-564A-8986-29612107DACC}">
      <dsp:nvSpPr>
        <dsp:cNvPr id="0" name=""/>
        <dsp:cNvSpPr/>
      </dsp:nvSpPr>
      <dsp:spPr>
        <a:xfrm>
          <a:off x="2249750" y="1325500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2249750" y="1325500"/>
        <a:ext cx="585698" cy="112314"/>
      </dsp:txXfrm>
    </dsp:sp>
    <dsp:sp modelId="{F71A014F-B905-3A49-8140-542683238173}">
      <dsp:nvSpPr>
        <dsp:cNvPr id="0" name=""/>
        <dsp:cNvSpPr/>
      </dsp:nvSpPr>
      <dsp:spPr>
        <a:xfrm>
          <a:off x="2992689" y="1063433"/>
          <a:ext cx="650776" cy="336943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Jefe de almacen</a:t>
          </a:r>
        </a:p>
      </dsp:txBody>
      <dsp:txXfrm>
        <a:off x="2992689" y="1063433"/>
        <a:ext cx="650776" cy="336943"/>
      </dsp:txXfrm>
    </dsp:sp>
    <dsp:sp modelId="{A4006D0D-F84A-134C-AE14-5808D1AA8E6B}">
      <dsp:nvSpPr>
        <dsp:cNvPr id="0" name=""/>
        <dsp:cNvSpPr/>
      </dsp:nvSpPr>
      <dsp:spPr>
        <a:xfrm>
          <a:off x="3122844" y="1325500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3122844" y="1325500"/>
        <a:ext cx="585698" cy="112314"/>
      </dsp:txXfrm>
    </dsp:sp>
    <dsp:sp modelId="{C0CE6219-918F-BA41-AF65-044FB02F11A3}">
      <dsp:nvSpPr>
        <dsp:cNvPr id="0" name=""/>
        <dsp:cNvSpPr/>
      </dsp:nvSpPr>
      <dsp:spPr>
        <a:xfrm>
          <a:off x="2119595" y="1595055"/>
          <a:ext cx="650776" cy="336943"/>
        </a:xfrm>
        <a:prstGeom prst="rect">
          <a:avLst/>
        </a:prstGeom>
        <a:solidFill>
          <a:schemeClr val="accent2"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1">
          <a:scrgbClr r="0" g="0" b="0"/>
        </a:effectRef>
        <a:fontRef idx="minor">
          <a:schemeClr val="lt1"/>
        </a:fontRef>
      </dsp:style>
      <dsp:txBody>
        <a:bodyPr spcFirstLastPara="0" vert="horz" wrap="square" lIns="5715" tIns="5715" rIns="5715" bIns="47546" numCol="1" spcCol="1270" anchor="ctr" anchorCtr="0">
          <a:noAutofit/>
        </a:bodyPr>
        <a:lstStyle/>
        <a:p>
          <a:pPr marL="0" lvl="0" indent="0" algn="ctr" defTabSz="4000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es-MX" sz="900" kern="1200"/>
            <a:t>Jefe de Producto</a:t>
          </a:r>
        </a:p>
      </dsp:txBody>
      <dsp:txXfrm>
        <a:off x="2119595" y="1595055"/>
        <a:ext cx="650776" cy="336943"/>
      </dsp:txXfrm>
    </dsp:sp>
    <dsp:sp modelId="{4FE0CB17-39B9-454E-ACDD-437CE2BCE2BA}">
      <dsp:nvSpPr>
        <dsp:cNvPr id="0" name=""/>
        <dsp:cNvSpPr/>
      </dsp:nvSpPr>
      <dsp:spPr>
        <a:xfrm>
          <a:off x="2249750" y="1857121"/>
          <a:ext cx="585698" cy="112314"/>
        </a:xfrm>
        <a:prstGeom prst="rect">
          <a:avLst/>
        </a:prstGeom>
        <a:solidFill>
          <a:schemeClr val="lt1">
            <a:alpha val="90000"/>
            <a:hueOff val="0"/>
            <a:satOff val="0"/>
            <a:lumOff val="0"/>
            <a:alphaOff val="0"/>
          </a:schemeClr>
        </a:solidFill>
        <a:ln>
          <a:noFill/>
        </a:ln>
        <a:effectLst/>
        <a:scene3d>
          <a:camera prst="orthographicFront">
            <a:rot lat="0" lon="0" rev="0"/>
          </a:camera>
          <a:lightRig rig="contrasting" dir="t">
            <a:rot lat="0" lon="0" rev="1200000"/>
          </a:lightRig>
        </a:scene3d>
        <a:sp3d z="300000" contourW="19050" prstMaterial="metal">
          <a:bevelT w="88900" h="203200"/>
          <a:bevelB w="165100" h="254000"/>
        </a:sp3d>
      </dsp:spPr>
      <dsp:style>
        <a:lnRef idx="0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7780" tIns="4445" rIns="17780" bIns="4445" numCol="1" spcCol="1270" anchor="ctr" anchorCtr="0">
          <a:noAutofit/>
        </a:bodyPr>
        <a:lstStyle/>
        <a:p>
          <a:pPr marL="0" lvl="0" indent="0" algn="r" defTabSz="3111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es-MX" sz="700" kern="1200"/>
        </a:p>
      </dsp:txBody>
      <dsp:txXfrm>
        <a:off x="2249750" y="1857121"/>
        <a:ext cx="585698" cy="112314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NameandTitleOrganizationalChart">
  <dgm:title val=""/>
  <dgm:desc val=""/>
  <dgm:catLst>
    <dgm:cat type="hierarchy" pri="1250"/>
  </dgm:catLst>
  <dgm:sampData>
    <dgm:dataModel>
      <dgm:ptLst>
        <dgm:pt modelId="0" type="doc"/>
        <dgm:pt modelId="1">
          <dgm:prSet phldr="1"/>
        </dgm:pt>
        <dgm:pt modelId="2" type="asst">
          <dgm:prSet phldr="1"/>
        </dgm:pt>
        <dgm:pt modelId="3">
          <dgm:prSet phldr="1"/>
        </dgm:pt>
        <dgm:pt modelId="4">
          <dgm:prSet phldr="1"/>
        </dgm:pt>
        <dgm:pt modelId="5">
          <dgm:prSet phldr="1"/>
        </dgm:pt>
      </dgm:ptLst>
      <dgm:cxnLst>
        <dgm:cxn modelId="5" srcId="0" destId="1" srcOrd="0" destOrd="0"/>
        <dgm:cxn modelId="6" srcId="1" destId="2" srcOrd="0" destOrd="0"/>
        <dgm:cxn modelId="7" srcId="1" destId="3" srcOrd="1" destOrd="0"/>
        <dgm:cxn modelId="8" srcId="1" destId="4" srcOrd="2" destOrd="0"/>
        <dgm:cxn modelId="9" srcId="1" destId="5" srcOrd="3" destOrd="0"/>
      </dgm:cxnLst>
      <dgm:bg/>
      <dgm:whole/>
    </dgm:dataModel>
  </dgm:sampData>
  <dgm:styleData>
    <dgm:dataModel>
      <dgm:ptLst>
        <dgm:pt modelId="0" type="doc"/>
        <dgm:pt modelId="1"/>
        <dgm:pt modelId="12"/>
        <dgm:pt modelId="13"/>
      </dgm:ptLst>
      <dgm:cxnLst>
        <dgm:cxn modelId="2" srcId="0" destId="1" srcOrd="0" destOrd="0"/>
        <dgm:cxn modelId="16" srcId="1" destId="12" srcOrd="1" destOrd="0"/>
        <dgm:cxn modelId="17" srcId="1" destId="13" srcOrd="2" destOrd="0"/>
      </dgm:cxnLst>
      <dgm:bg/>
      <dgm:whole/>
    </dgm:dataModel>
  </dgm:styleData>
  <dgm:clrData>
    <dgm:dataModel>
      <dgm:ptLst>
        <dgm:pt modelId="0" type="doc"/>
        <dgm:pt modelId="1"/>
        <dgm:pt modelId="11" type="asst"/>
        <dgm:pt modelId="12"/>
        <dgm:pt modelId="13"/>
        <dgm:pt modelId="14"/>
      </dgm:ptLst>
      <dgm:cxnLst>
        <dgm:cxn modelId="2" srcId="0" destId="1" srcOrd="0" destOrd="0"/>
        <dgm:cxn modelId="15" srcId="1" destId="11" srcOrd="0" destOrd="0"/>
        <dgm:cxn modelId="16" srcId="1" destId="12" srcOrd="1" destOrd="0"/>
        <dgm:cxn modelId="17" srcId="1" destId="13" srcOrd="2" destOrd="0"/>
        <dgm:cxn modelId="18" srcId="1" destId="14" srcOrd="2" destOrd="0"/>
      </dgm:cxnLst>
      <dgm:bg/>
      <dgm:whole/>
    </dgm:dataModel>
  </dgm:clrData>
  <dgm:layoutNode name="hierChild1">
    <dgm:varLst>
      <dgm:orgChart val="1"/>
      <dgm:chPref val="1"/>
      <dgm:dir/>
      <dgm:animOne val="branch"/>
      <dgm:animLvl val="lvl"/>
      <dgm:resizeHandles/>
    </dgm:varLst>
    <dgm:choose name="Name0">
      <dgm:if name="Name1" func="var" arg="dir" op="equ" val="norm">
        <dgm:alg type="hierChild">
          <dgm:param type="linDir" val="fromL"/>
        </dgm:alg>
      </dgm:if>
      <dgm:else name="Name2">
        <dgm:alg type="hierChild">
          <dgm:param type="linDir" val="fromR"/>
        </dgm:alg>
      </dgm:else>
    </dgm:choose>
    <dgm:shape xmlns:r="http://schemas.openxmlformats.org/officeDocument/2006/relationships" r:blip="">
      <dgm:adjLst/>
    </dgm:shape>
    <dgm:presOf/>
    <dgm:constrLst>
      <dgm:constr type="w" for="des" forName="rootComposite1" refType="w" fact="10"/>
      <dgm:constr type="h" for="des" forName="rootComposite1" refType="w" refFor="des" refForName="rootComposite1" fact="0.5"/>
      <dgm:constr type="w" for="des" forName="rootComposite" refType="w" fact="10"/>
      <dgm:constr type="h" for="des" forName="rootComposite" refType="w" refFor="des" refForName="rootComposite1" fact="0.5"/>
      <dgm:constr type="w" for="des" forName="rootComposite3" refType="w" fact="10"/>
      <dgm:constr type="h" for="des" forName="rootComposite3" refType="w" refFor="des" refForName="rootComposite1" fact="0.5"/>
      <dgm:constr type="primFontSz" for="des" ptType="node" op="equ"/>
      <dgm:constr type="sp" for="des" op="equ"/>
      <dgm:constr type="sp" for="des" forName="hierRoot1" refType="w" refFor="des" refForName="rootComposite1" fact="0.21"/>
      <dgm:constr type="sp" for="des" forName="hierRoot2" refType="sp" refFor="des" refForName="hierRoot1"/>
      <dgm:constr type="sp" for="des" forName="hierRoot3" refType="sp" refFor="des" refForName="hierRoot1"/>
      <dgm:constr type="sibSp" refType="w" refFor="des" refForName="rootComposite1" fact="0.21"/>
      <dgm:constr type="sibSp" for="des" forName="hierChild2" refType="sibSp"/>
      <dgm:constr type="sibSp" for="des" forName="hierChild3" refType="sibSp"/>
      <dgm:constr type="sibSp" for="des" forName="hierChild4" refType="sibSp"/>
      <dgm:constr type="sibSp" for="des" forName="hierChild5" refType="sibSp"/>
      <dgm:constr type="sibSp" for="des" forName="hierChild6" refType="sibSp"/>
      <dgm:constr type="sibSp" for="des" forName="hierChild7" refType="sibSp"/>
      <dgm:constr type="secSibSp" refType="w" refFor="des" refForName="rootComposite1" fact="0.21"/>
      <dgm:constr type="secSibSp" for="des" forName="hierChild2" refType="secSibSp"/>
      <dgm:constr type="secSibSp" for="des" forName="hierChild3" refType="secSibSp"/>
      <dgm:constr type="secSibSp" for="des" forName="hierChild4" refType="secSibSp"/>
      <dgm:constr type="secSibSp" for="des" forName="hierChild5" refType="secSibSp"/>
      <dgm:constr type="secSibSp" for="des" forName="hierChild6" refType="secSibSp"/>
      <dgm:constr type="secSibSp" for="des" forName="hierChild7" refType="secSibSp"/>
    </dgm:constrLst>
    <dgm:ruleLst/>
    <dgm:forEach name="Name3" axis="ch">
      <dgm:forEach name="Name4" axis="self" ptType="node">
        <dgm:layoutNode name="hierRoot1">
          <dgm:varLst>
            <dgm:hierBranch val="init"/>
          </dgm:varLst>
          <dgm:choose name="Name5">
            <dgm:if name="Name6" func="var" arg="hierBranch" op="equ" val="l">
              <dgm:choose name="Name7">
                <dgm:if name="Name8" axis="ch" ptType="asst" func="cnt" op="gte" val="1">
                  <dgm:alg type="hierRoot">
                    <dgm:param type="hierAlign" val="tR"/>
                  </dgm:alg>
                  <dgm:constrLst>
                    <dgm:constr type="alignOff" val="0.65"/>
                  </dgm:constrLst>
                </dgm:if>
                <dgm:else name="Name9">
                  <dgm:alg type="hierRoot">
                    <dgm:param type="hierAlign" val="tR"/>
                  </dgm:alg>
                  <dgm:constrLst>
                    <dgm:constr type="alignOff" val="0.25"/>
                  </dgm:constrLst>
                </dgm:else>
              </dgm:choose>
            </dgm:if>
            <dgm:if name="Name10" func="var" arg="hierBranch" op="equ" val="r">
              <dgm:choose name="Name11">
                <dgm:if name="Name12" axis="ch" ptType="asst" func="cnt" op="gte" val="1">
                  <dgm:alg type="hierRoot">
                    <dgm:param type="hierAlign" val="tL"/>
                  </dgm:alg>
                  <dgm:constrLst>
                    <dgm:constr type="alignOff" val="0.65"/>
                  </dgm:constrLst>
                </dgm:if>
                <dgm:else name="Name13">
                  <dgm:alg type="hierRoot">
                    <dgm:param type="hierAlign" val="tL"/>
                  </dgm:alg>
                  <dgm:constrLst>
                    <dgm:constr type="alignOff" val="0.25"/>
                  </dgm:constrLst>
                </dgm:else>
              </dgm:choose>
            </dgm:if>
            <dgm:if name="Name14" func="var" arg="hierBranch" op="equ" val="hang">
              <dgm:alg type="hierRoot"/>
              <dgm:constrLst>
                <dgm:constr type="alignOff" val="0.65"/>
              </dgm:constrLst>
            </dgm:if>
            <dgm:else name="Name15">
              <dgm:alg type="hierRoot"/>
              <dgm:constrLst>
                <dgm:constr type="alignOff"/>
                <dgm:constr type="bendDist" for="des" ptType="parTrans" refType="sp" fact="0.5"/>
              </dgm:constrLst>
            </dgm:else>
          </dgm:choose>
          <dgm:shape xmlns:r="http://schemas.openxmlformats.org/officeDocument/2006/relationships" r:blip="">
            <dgm:adjLst/>
          </dgm:shape>
          <dgm:presOf/>
          <dgm:ruleLst/>
          <dgm:layoutNode name="rootComposite1">
            <dgm:alg type="composite"/>
            <dgm:shape xmlns:r="http://schemas.openxmlformats.org/officeDocument/2006/relationships" r:blip="">
              <dgm:adjLst/>
            </dgm:shape>
            <dgm:presOf axis="self" ptType="node" cnt="1"/>
            <dgm:choose name="Name16">
              <dgm:if name="Name17" func="var" arg="hierBranch" op="equ" val="init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8" func="var" arg="hierBranch" op="equ" val="l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if name="Name19" func="var" arg="hierBranch" op="equ" val="r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l" for="ch" forName="rootConnector1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if>
              <dgm:else name="Name20">
                <dgm:constrLst>
                  <dgm:constr type="l" for="ch" forName="rootText1"/>
                  <dgm:constr type="t" for="ch" forName="rootText1"/>
                  <dgm:constr type="w" for="ch" forName="rootText1" refType="w"/>
                  <dgm:constr type="h" for="ch" forName="rootText1" refType="h" fact="0.9"/>
                  <dgm:constr type="l" for="ch" forName="titleText1" refType="w" fact="0.2"/>
                  <dgm:constr type="t" for="ch" forName="titleText1" refType="h" fact="0.7"/>
                  <dgm:constr type="w" for="ch" forName="titleText1" refType="w" fact="0.9"/>
                  <dgm:constr type="h" for="ch" forName="titleText1" refType="h" fact="0.3"/>
                  <dgm:constr type="primFontSz" for="des" forName="titleText1" refType="primFontSz" refFor="des" refForName="rootText1" op="lte"/>
                  <dgm:constr type="r" for="ch" forName="rootConnector1" refType="w"/>
                  <dgm:constr type="t" for="ch" forName="rootConnector1"/>
                  <dgm:constr type="w" for="ch" forName="rootConnector1" refType="w" refFor="ch" refForName="rootText1" fact="0.2"/>
                  <dgm:constr type="h" for="ch" forName="rootConnector1" refType="h" refFor="ch" refForName="rootText1"/>
                </dgm:constrLst>
              </dgm:else>
            </dgm:choose>
            <dgm:ruleLst/>
            <dgm:layoutNode name="rootText1" styleLbl="node0">
              <dgm:varLst>
                <dgm:chMax/>
                <dgm:chPref val="3"/>
              </dgm:varLst>
              <dgm:alg type="tx"/>
              <dgm:shape xmlns:r="http://schemas.openxmlformats.org/officeDocument/2006/relationships" type="rect" r:blip="">
                <dgm:adjLst/>
              </dgm:shape>
              <dgm:presOf axis="self" ptType="node" cnt="1"/>
              <dgm:constrLst>
                <dgm:constr type="primFontSz" val="65"/>
                <dgm:constr type="lMarg" refType="primFontSz" fact="0.05"/>
                <dgm:constr type="rMarg" refType="primFontSz" fact="0.05"/>
                <dgm:constr type="tMarg" refType="primFontSz" fact="0.05"/>
                <dgm:constr type="bMarg" refType="h" fact="0.4"/>
              </dgm:constrLst>
              <dgm:ruleLst>
                <dgm:rule type="primFontSz" val="5" fact="NaN" max="NaN"/>
              </dgm:ruleLst>
            </dgm:layoutNode>
            <dgm:layoutNode name="titleText1" styleLbl="fgAcc0">
              <dgm:varLst>
                <dgm:chMax val="0"/>
                <dgm:chPref val="0"/>
              </dgm:varLst>
              <dgm:alg type="tx">
                <dgm:param type="parTxLTRAlign" val="r"/>
              </dgm:alg>
              <dgm:shape xmlns:r="http://schemas.openxmlformats.org/officeDocument/2006/relationships" type="rect" r:blip="">
                <dgm:adjLst/>
              </dgm:shape>
              <dgm:presOf axis="followSib" ptType="sibTrans" hideLastTrans="0" cnt="1"/>
              <dgm:constrLst>
                <dgm:constr type="primFontSz" val="65"/>
                <dgm:constr type="lMarg" refType="primFontSz" fact="0.2"/>
                <dgm:constr type="rMarg" refType="primFontSz" fact="0.2"/>
                <dgm:constr type="tMarg" refType="primFontSz" fact="0.05"/>
                <dgm:constr type="bMarg" refType="primFontSz" fact="0.05"/>
              </dgm:constrLst>
              <dgm:ruleLst>
                <dgm:rule type="primFontSz" val="5" fact="NaN" max="NaN"/>
              </dgm:ruleLst>
            </dgm:layoutNode>
            <dgm:layoutNode name="rootConnector1" moveWith="rootText1">
              <dgm:alg type="sp"/>
              <dgm:shape xmlns:r="http://schemas.openxmlformats.org/officeDocument/2006/relationships" type="rect" r:blip="" hideGeom="1">
                <dgm:adjLst/>
              </dgm:shape>
              <dgm:presOf axis="self" ptType="node" cnt="1"/>
              <dgm:constrLst/>
              <dgm:ruleLst/>
            </dgm:layoutNode>
          </dgm:layoutNode>
          <dgm:layoutNode name="hierChild2">
            <dgm:choose name="Name21">
              <dgm:if name="Name22" func="var" arg="hierBranch" op="equ" val="l">
                <dgm:alg type="hierChild">
                  <dgm:param type="chAlign" val="r"/>
                  <dgm:param type="linDir" val="fromT"/>
                </dgm:alg>
              </dgm:if>
              <dgm:if name="Name23" func="var" arg="hierBranch" op="equ" val="r">
                <dgm:alg type="hierChild">
                  <dgm:param type="chAlign" val="l"/>
                  <dgm:param type="linDir" val="fromT"/>
                </dgm:alg>
              </dgm:if>
              <dgm:if name="Name24" func="var" arg="hierBranch" op="equ" val="hang">
                <dgm:choose name="Name25">
                  <dgm:if name="Name26" func="var" arg="dir" op="equ" val="norm">
                    <dgm:alg type="hierChild">
                      <dgm:param type="chAlign" val="l"/>
                      <dgm:param type="linDir" val="fromL"/>
                      <dgm:param type="secChAlign" val="t"/>
                      <dgm:param type="secLinDir" val="fromT"/>
                    </dgm:alg>
                  </dgm:if>
                  <dgm:else name="Name27">
                    <dgm:alg type="hierChild">
                      <dgm:param type="chAlign" val="l"/>
                      <dgm:param type="linDir" val="fromR"/>
                      <dgm:param type="secChAlign" val="t"/>
                      <dgm:param type="secLinDir" val="fromT"/>
                    </dgm:alg>
                  </dgm:else>
                </dgm:choose>
              </dgm:if>
              <dgm:else name="Name28">
                <dgm:choose name="Name29">
                  <dgm:if name="Name30" func="var" arg="dir" op="equ" val="norm">
                    <dgm:alg type="hierChild"/>
                  </dgm:if>
                  <dgm:else name="Name31">
                    <dgm:alg type="hierChild">
                      <dgm:param type="linDir" val="fromR"/>
                    </dgm:alg>
                  </dgm:else>
                </dgm:choose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a" axis="ch" ptType="nonAsst">
              <dgm:forEach name="Name32" axis="precedSib" ptType="parTrans" st="-1" cnt="1">
                <dgm:choose name="Name33">
                  <dgm:if name="Name34" func="var" arg="hierBranch" op="equ" val="std">
                    <dgm:layoutNode name="Name35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tCtr"/>
                        <dgm:param type="bendPt" val="end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36" func="var" arg="hierBranch" op="equ" val="init">
                    <dgm:layoutNode name="Name37">
                      <dgm:choose name="Name38">
                        <dgm:if name="Name39" axis="self" func="depth" op="lte" val="2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if>
                        <dgm:else name="Name40">
                          <dgm:alg type="conn">
                            <dgm:param type="connRout" val="bend"/>
                            <dgm:param type="dim" val="1D"/>
                            <dgm:param type="endSty" val="noArr"/>
                            <dgm:param type="begPts" val="bCtr"/>
                            <dgm:param type="endPts" val="tCtr"/>
                            <dgm:param type="bendPt" val="end"/>
                          </dgm:alg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if name="Name41" func="var" arg="hierBranch" op="equ" val="hang">
                    <dgm:layoutNode name="Name42">
                      <dgm:alg type="conn">
                        <dgm:param type="connRout" val="bend"/>
                        <dgm:param type="dim" val="1D"/>
                        <dgm:param type="endSty" val="noArr"/>
                        <dgm:param type="begPts" val="bCtr"/>
                        <dgm:param type="endPts" val="midL midR"/>
                      </dgm:alg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if>
                  <dgm:else name="Name43">
                    <dgm:layoutNode name="Name44">
                      <dgm:choose name="Name45">
                        <dgm:if name="Name46" axis="self" func="depth" op="lte" val="2">
                          <dgm:choose name="Name47">
                            <dgm:if name="Name48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49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1"/>
                              </dgm:alg>
                            </dgm:else>
                          </dgm:choose>
                        </dgm:if>
                        <dgm:else name="Name50">
                          <dgm:choose name="Name51">
                            <dgm:if name="Name52" axis="par ch" ptType="node asst" func="cnt" op="gte" val="1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</dgm:alg>
                            </dgm:if>
                            <dgm:else name="Name53">
                              <dgm:alg type="conn">
                                <dgm:param type="connRout" val="bend"/>
                                <dgm:param type="dim" val="1D"/>
                                <dgm:param type="endSty" val="noArr"/>
                                <dgm:param type="begPts" val="bCtr"/>
                                <dgm:param type="endPts" val="midL midR"/>
                                <dgm:param type="srcNode" val="rootConnector"/>
                              </dgm:alg>
                            </dgm:else>
                          </dgm:choose>
                        </dgm:else>
                      </dgm:choose>
                      <dgm:shape xmlns:r="http://schemas.openxmlformats.org/officeDocument/2006/relationships" type="conn" r:blip="" zOrderOff="-99999">
                        <dgm:adjLst/>
                      </dgm:shape>
                      <dgm:presOf axis="self"/>
                      <dgm:constrLst>
                        <dgm:constr type="begPad"/>
                        <dgm:constr type="endPad"/>
                      </dgm:constrLst>
                      <dgm:ruleLst/>
                    </dgm:layoutNode>
                  </dgm:else>
                </dgm:choose>
              </dgm:forEach>
              <dgm:layoutNode name="hierRoot2">
                <dgm:varLst>
                  <dgm:hierBranch val="init"/>
                </dgm:varLst>
                <dgm:choose name="Name54">
                  <dgm:if name="Name55" func="var" arg="hierBranch" op="equ" val="l">
                    <dgm:choose name="Name56">
                      <dgm:if name="Name57" axis="ch" ptType="asst" func="cnt" op="gte" val="1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58">
                        <dgm:alg type="hierRoot">
                          <dgm:param type="hierAlign" val="tR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59" func="var" arg="hierBranch" op="equ" val="r">
                    <dgm:choose name="Name60">
                      <dgm:if name="Name61" axis="ch" ptType="asst" func="cnt" op="gte" val="1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65"/>
                        </dgm:constrLst>
                      </dgm:if>
                      <dgm:else name="Name62">
                        <dgm:alg type="hierRoot">
                          <dgm:param type="hierAlign" val="tL"/>
                        </dgm:alg>
                        <dgm:shape xmlns:r="http://schemas.openxmlformats.org/officeDocument/2006/relationships" r:blip="">
                          <dgm:adjLst/>
                        </dgm:shape>
                        <dgm:presOf/>
                        <dgm:constrLst>
                          <dgm:constr type="alignOff" val="0.25"/>
                        </dgm:constrLst>
                      </dgm:else>
                    </dgm:choose>
                  </dgm:if>
                  <dgm:if name="Name63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64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65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else>
                </dgm:choose>
                <dgm:ruleLst/>
                <dgm:layoutNode name="rootComposite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66">
                    <dgm:if name="Name67" func="var" arg="hierBranch" op="equ" val="init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8" func="var" arg="hierBranch" op="equ" val="l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if name="Name69" func="var" arg="hierBranch" op="equ" val="r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l" for="ch" forName="rootConnector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if>
                    <dgm:else name="Name70">
                      <dgm:constrLst>
                        <dgm:constr type="l" for="ch" forName="rootText"/>
                        <dgm:constr type="t" for="ch" forName="rootText"/>
                        <dgm:constr type="w" for="ch" forName="rootText" refType="w"/>
                        <dgm:constr type="h" for="ch" forName="rootText" refType="h" fact="0.9"/>
                        <dgm:constr type="l" for="ch" forName="titleText2" refType="w" fact="0.2"/>
                        <dgm:constr type="t" for="ch" forName="titleText2" refType="h" fact="0.7"/>
                        <dgm:constr type="w" for="ch" forName="titleText2" refType="w" fact="0.9"/>
                        <dgm:constr type="h" for="ch" forName="titleText2" refType="h" fact="0.3"/>
                        <dgm:constr type="primFontSz" for="des" forName="titleText2" refType="primFontSz" refFor="des" refForName="rootText1" op="lte"/>
                        <dgm:constr type="r" for="ch" forName="rootConnector" refType="w"/>
                        <dgm:constr type="t" for="ch" forName="rootConnector"/>
                        <dgm:constr type="w" for="ch" forName="rootConnector" refType="w" refFor="ch" refForName="rootText" fact="0.2"/>
                        <dgm:constr type="h" for="ch" forName="rootConnector" refType="h" refFor="ch" refForName="rootText"/>
                      </dgm:constrLst>
                    </dgm:else>
                  </dgm:choose>
                  <dgm:ruleLst/>
                  <dgm:layoutNode name="rootText" styleLbl="node1">
                    <dgm:varLst>
                      <dgm:chMax/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2" styleLbl="fgAcc1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" moveWith="rootText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4">
                  <dgm:choose name="Name71">
                    <dgm:if name="Name72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73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74" func="var" arg="hierBranch" op="equ" val="hang">
                      <dgm:choose name="Name75">
                        <dgm:if name="Name76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77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78" func="var" arg="hierBranch" op="equ" val="std">
                      <dgm:choose name="Name79">
                        <dgm:if name="Name80" func="var" arg="dir" op="equ" val="norm">
                          <dgm:alg type="hierChild"/>
                        </dgm:if>
                        <dgm:else name="Name81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82" func="var" arg="hierBranch" op="equ" val="init">
                      <dgm:choose name="Name83">
                        <dgm:if name="Name84" func="var" arg="dir" op="equ" val="norm">
                          <dgm:alg type="hierChild"/>
                        </dgm:if>
                        <dgm:else name="Name85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else name="Name86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87" ref="rep2a"/>
                </dgm:layoutNode>
                <dgm:layoutNode name="hierChild5">
                  <dgm:choose name="Name88">
                    <dgm:if name="Name89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90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91" ref="rep2b"/>
                </dgm:layoutNode>
              </dgm:layoutNode>
            </dgm:forEach>
          </dgm:layoutNode>
          <dgm:layoutNode name="hierChild3">
            <dgm:choose name="Name92">
              <dgm:if name="Name93" func="var" arg="dir" op="equ" val="norm">
                <dgm:alg type="hierChild">
                  <dgm:param type="chAlign" val="l"/>
                  <dgm:param type="linDir" val="fromL"/>
                  <dgm:param type="secChAlign" val="t"/>
                  <dgm:param type="secLinDir" val="fromT"/>
                </dgm:alg>
              </dgm:if>
              <dgm:else name="Name94">
                <dgm:alg type="hierChild">
                  <dgm:param type="chAlign" val="l"/>
                  <dgm:param type="linDir" val="fromR"/>
                  <dgm:param type="secChAlign" val="t"/>
                  <dgm:param type="secLinDir" val="fromT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constrLst/>
            <dgm:ruleLst/>
            <dgm:forEach name="rep2b" axis="ch" ptType="asst">
              <dgm:forEach name="Name95" axis="precedSib" ptType="parTrans" st="-1" cnt="1">
                <dgm:layoutNode name="Name96">
                  <dgm:alg type="conn">
                    <dgm:param type="connRout" val="bend"/>
                    <dgm:param type="dim" val="1D"/>
                    <dgm:param type="endSty" val="noArr"/>
                    <dgm:param type="begPts" val="bCtr"/>
                    <dgm:param type="endPts" val="midL midR"/>
                  </dgm:alg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begPad"/>
                    <dgm:constr type="endPad"/>
                  </dgm:constrLst>
                  <dgm:ruleLst/>
                </dgm:layoutNode>
              </dgm:forEach>
              <dgm:layoutNode name="hierRoot3">
                <dgm:varLst>
                  <dgm:hierBranch val="init"/>
                </dgm:varLst>
                <dgm:choose name="Name97">
                  <dgm:if name="Name98" func="var" arg="hierBranch" op="equ" val="l">
                    <dgm:alg type="hierRoot">
                      <dgm:param type="hierAlign" val="tR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99" func="var" arg="hierBranch" op="equ" val="r">
                    <dgm:alg type="hierRoot">
                      <dgm:param type="hierAlign" val="tL"/>
                    </dgm:alg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0" func="var" arg="hierBranch" op="equ" val="hang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 val="0.65"/>
                    </dgm:constrLst>
                  </dgm:if>
                  <dgm:if name="Name101" func="var" arg="hierBranch" op="equ" val="std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if name="Name102" func="var" arg="hierBranch" op="equ" val="init">
                    <dgm:alg type="hierRoot"/>
                    <dgm:shape xmlns:r="http://schemas.openxmlformats.org/officeDocument/2006/relationships" r:blip="">
                      <dgm:adjLst/>
                    </dgm:shape>
                    <dgm:presOf/>
                    <dgm:constrLst>
                      <dgm:constr type="alignOff"/>
                      <dgm:constr type="bendDist" for="des" ptType="parTrans" refType="sp" fact="0.5"/>
                    </dgm:constrLst>
                  </dgm:if>
                  <dgm:else name="Name103"/>
                </dgm:choose>
                <dgm:ruleLst/>
                <dgm:layoutNode name="rootComposite3">
                  <dgm:alg type="composite"/>
                  <dgm:shape xmlns:r="http://schemas.openxmlformats.org/officeDocument/2006/relationships" r:blip="">
                    <dgm:adjLst/>
                  </dgm:shape>
                  <dgm:presOf axis="self" ptType="node" cnt="1"/>
                  <dgm:choose name="Name104">
                    <dgm:if name="Name105" func="var" arg="hierBranch" op="equ" val="init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6" func="var" arg="hierBranch" op="equ" val="l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if name="Name107" func="var" arg="hierBranch" op="equ" val="r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l" for="ch" forName="rootConnector3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if>
                    <dgm:else name="Name108">
                      <dgm:constrLst>
                        <dgm:constr type="l" for="ch" forName="rootText3"/>
                        <dgm:constr type="t" for="ch" forName="rootText3"/>
                        <dgm:constr type="w" for="ch" forName="rootText3" refType="w"/>
                        <dgm:constr type="h" for="ch" forName="rootText3" refType="h" fact="0.9"/>
                        <dgm:constr type="l" for="ch" forName="titleText3" refType="w" fact="0.2"/>
                        <dgm:constr type="t" for="ch" forName="titleText3" refType="h" fact="0.7"/>
                        <dgm:constr type="w" for="ch" forName="titleText3" refType="w" fact="0.9"/>
                        <dgm:constr type="h" for="ch" forName="titleText3" refType="h" fact="0.3"/>
                        <dgm:constr type="primFontSz" for="des" forName="titleText3" refType="primFontSz" refFor="des" refForName="rootText3" op="lte"/>
                        <dgm:constr type="r" for="ch" forName="rootConnector3" refType="w"/>
                        <dgm:constr type="t" for="ch" forName="rootConnector3"/>
                        <dgm:constr type="w" for="ch" forName="rootConnector3" refType="w" refFor="ch" refForName="rootText3" fact="0.2"/>
                        <dgm:constr type="h" for="ch" forName="rootConnector3" refType="h" refFor="ch" refForName="rootText3"/>
                      </dgm:constrLst>
                    </dgm:else>
                  </dgm:choose>
                  <dgm:ruleLst/>
                  <dgm:layoutNode name="rootText3" styleLbl="asst1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 ptType="node" cnt="1"/>
                    <dgm:constrLst>
                      <dgm:constr type="primFontSz" val="65"/>
                      <dgm:constr type="lMarg" refType="primFontSz" fact="0.05"/>
                      <dgm:constr type="rMarg" refType="primFontSz" fact="0.05"/>
                      <dgm:constr type="tMarg" refType="primFontSz" fact="0.05"/>
                      <dgm:constr type="bMarg" refType="h" fact="0.4"/>
                    </dgm:constrLst>
                    <dgm:ruleLst>
                      <dgm:rule type="primFontSz" val="5" fact="NaN" max="NaN"/>
                    </dgm:ruleLst>
                  </dgm:layoutNode>
                  <dgm:layoutNode name="titleText3" styleLbl="fgAcc2">
                    <dgm:varLst>
                      <dgm:chMax val="0"/>
                      <dgm:chPref val="0"/>
                    </dgm:varLst>
                    <dgm:alg type="tx">
                      <dgm:param type="parTxLTRAlign" val="r"/>
                    </dgm:alg>
                    <dgm:shape xmlns:r="http://schemas.openxmlformats.org/officeDocument/2006/relationships" type="rect" r:blip="">
                      <dgm:adjLst/>
                    </dgm:shape>
                    <dgm:presOf axis="followSib" ptType="sibTrans" hideLastTrans="0" cnt="1"/>
                    <dgm:constrLst>
                      <dgm:constr type="primFontSz" val="65"/>
                      <dgm:constr type="lMarg" refType="primFontSz" fact="0.2"/>
                      <dgm:constr type="rMarg" refType="primFontSz" fact="0.2"/>
                      <dgm:constr type="tMarg" refType="primFontSz" fact="0.05"/>
                      <dgm:constr type="bMarg" refType="primFontSz" fact="0.05"/>
                    </dgm:constrLst>
                    <dgm:ruleLst>
                      <dgm:rule type="primFontSz" val="5" fact="NaN" max="NaN"/>
                    </dgm:ruleLst>
                  </dgm:layoutNode>
                  <dgm:layoutNode name="rootConnector3" moveWith="rootText1">
                    <dgm:alg type="sp"/>
                    <dgm:shape xmlns:r="http://schemas.openxmlformats.org/officeDocument/2006/relationships" type="rect" r:blip="" hideGeom="1">
                      <dgm:adjLst/>
                    </dgm:shape>
                    <dgm:presOf axis="self" ptType="node" cnt="1"/>
                    <dgm:constrLst/>
                    <dgm:ruleLst/>
                  </dgm:layoutNode>
                </dgm:layoutNode>
                <dgm:layoutNode name="hierChild6">
                  <dgm:choose name="Name109">
                    <dgm:if name="Name110" func="var" arg="hierBranch" op="equ" val="l">
                      <dgm:alg type="hierChild">
                        <dgm:param type="chAlign" val="r"/>
                        <dgm:param type="linDir" val="fromT"/>
                      </dgm:alg>
                    </dgm:if>
                    <dgm:if name="Name111" func="var" arg="hierBranch" op="equ" val="r">
                      <dgm:alg type="hierChild">
                        <dgm:param type="chAlign" val="l"/>
                        <dgm:param type="linDir" val="fromT"/>
                      </dgm:alg>
                    </dgm:if>
                    <dgm:if name="Name112" func="var" arg="hierBranch" op="equ" val="hang">
                      <dgm:choose name="Name113">
                        <dgm:if name="Name114" func="var" arg="dir" op="equ" val="norm">
                          <dgm:alg type="hierChild">
                            <dgm:param type="chAlign" val="l"/>
                            <dgm:param type="linDir" val="fromL"/>
                            <dgm:param type="secChAlign" val="t"/>
                            <dgm:param type="secLinDir" val="fromT"/>
                          </dgm:alg>
                        </dgm:if>
                        <dgm:else name="Name115">
                          <dgm:alg type="hierChild">
                            <dgm:param type="chAlign" val="l"/>
                            <dgm:param type="linDir" val="fromR"/>
                            <dgm:param type="secChAlign" val="t"/>
                            <dgm:param type="secLinDir" val="fromT"/>
                          </dgm:alg>
                        </dgm:else>
                      </dgm:choose>
                    </dgm:if>
                    <dgm:if name="Name116" func="var" arg="hierBranch" op="equ" val="std">
                      <dgm:choose name="Name117">
                        <dgm:if name="Name118" func="var" arg="dir" op="equ" val="norm">
                          <dgm:alg type="hierChild"/>
                        </dgm:if>
                        <dgm:else name="Name119">
                          <dgm:alg type="hierChild">
                            <dgm:param type="linDir" val="fromR"/>
                          </dgm:alg>
                        </dgm:else>
                      </dgm:choose>
                    </dgm:if>
                    <dgm:if name="Name120" func="var" arg="hierBranch" op="equ" val="init">
                      <dgm:alg type="hierChild"/>
                    </dgm:if>
                    <dgm:else name="Name121"/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2" ref="rep2a"/>
                </dgm:layoutNode>
                <dgm:layoutNode name="hierChild7">
                  <dgm:choose name="Name123">
                    <dgm:if name="Name124" func="var" arg="dir" op="equ" val="norm">
                      <dgm:alg type="hierChild">
                        <dgm:param type="chAlign" val="l"/>
                        <dgm:param type="linDir" val="fromL"/>
                        <dgm:param type="secChAlign" val="t"/>
                        <dgm:param type="secLinDir" val="fromT"/>
                      </dgm:alg>
                    </dgm:if>
                    <dgm:else name="Name125">
                      <dgm:alg type="hierChild">
                        <dgm:param type="chAlign" val="l"/>
                        <dgm:param type="linDir" val="fromR"/>
                        <dgm:param type="secChAlign" val="t"/>
                        <dgm:param type="secLinDir" val="fromT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constrLst/>
                  <dgm:ruleLst/>
                  <dgm:forEach name="Name126" ref="rep2b"/>
                </dgm:layoutNode>
              </dgm:layoutNode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3d3">
  <dgm:title val=""/>
  <dgm:desc val=""/>
  <dgm:catLst>
    <dgm:cat type="3D" pri="11300"/>
  </dgm:catLst>
  <dgm:scene3d>
    <a:camera prst="orthographicFront"/>
    <a:lightRig rig="threePt" dir="t"/>
  </dgm:scene3d>
  <dgm:styleLbl name="node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l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ven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clear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2">
        <a:scrgbClr r="0" g="0" b="0"/>
      </a:effectRef>
      <a:fontRef idx="minor">
        <a:schemeClr val="lt1"/>
      </a:fontRef>
    </dgm:style>
  </dgm:styleLbl>
  <dgm:styleLbl name="node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node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f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alignImgPlac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ImgPlac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182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ibTrans2D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>
        <a:rot lat="0" lon="0" rev="0"/>
      </a:camera>
      <a:lightRig rig="contrasting" dir="t">
        <a:rot lat="0" lon="0" rev="1200000"/>
      </a:lightRig>
    </dgm:scene3d>
    <dgm:sp3d z="10000"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>
        <a:schemeClr val="lt1"/>
      </a:fontRef>
    </dgm:style>
  </dgm:styleLbl>
  <dgm:styleLbl name="parChTrans2D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2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3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2D4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parChTrans1D1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>
        <a:rot lat="0" lon="0" rev="0"/>
      </a:camera>
      <a:lightRig rig="contrasting" dir="t">
        <a:rot lat="0" lon="0" rev="1200000"/>
      </a:lightRig>
    </dgm:scene3d>
    <dgm:sp3d z="-110000"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1">
        <a:scrgbClr r="0" g="0" b="0"/>
      </a:effectRef>
      <a:fontRef idx="minor"/>
    </dgm:style>
  </dgm:styleLbl>
  <dgm:styleLbl name="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2700" prstMaterial="flat">
      <a:bevelT w="177800" h="2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>
        <a:rot lat="0" lon="0" rev="0"/>
      </a:camera>
      <a:lightRig rig="contrasting" dir="t">
        <a:rot lat="0" lon="0" rev="1200000"/>
      </a:lightRig>
    </dgm:scene3d>
    <dgm:sp3d z="-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>
        <a:rot lat="0" lon="0" rev="0"/>
      </a:camera>
      <a:lightRig rig="contrasting" dir="t">
        <a:rot lat="0" lon="0" rev="1200000"/>
      </a:lightRig>
    </dgm:scene3d>
    <dgm:sp3d z="-300000" prstMaterial="plastic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>
        <a:rot lat="0" lon="0" rev="0"/>
      </a:camera>
      <a:lightRig rig="contrasting" dir="t">
        <a:rot lat="0" lon="0" rev="1200000"/>
      </a:lightRig>
    </dgm:scene3d>
    <dgm:sp3d contourW="12700" prstMaterial="flat">
      <a:bevelT w="100800" h="154000"/>
      <a:bevelB w="1524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>
        <a:rot lat="0" lon="0" rev="0"/>
      </a:camera>
      <a:lightRig rig="contrasting" dir="t">
        <a:rot lat="0" lon="0" rev="1200000"/>
      </a:lightRig>
    </dgm:scene3d>
    <dgm:sp3d z="-152400" prstMaterial="matte"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>
        <a:rot lat="0" lon="0" rev="0"/>
      </a:camera>
      <a:lightRig rig="contrasting" dir="t">
        <a:rot lat="0" lon="0" rev="1200000"/>
      </a:lightRig>
    </dgm:scene3d>
    <dgm:sp3d z="300000" contourW="19050" prstMaterial="metal">
      <a:bevelT w="88900" h="203200"/>
      <a:bevelB w="165100" h="254000"/>
    </dgm:sp3d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diagramLayout" Target="../diagrams/layout1.xml"/><Relationship Id="rId3" Type="http://schemas.openxmlformats.org/officeDocument/2006/relationships/image" Target="../media/image4.png"/><Relationship Id="rId7" Type="http://schemas.openxmlformats.org/officeDocument/2006/relationships/diagramData" Target="../diagrams/data1.xml"/><Relationship Id="rId2" Type="http://schemas.openxmlformats.org/officeDocument/2006/relationships/image" Target="../media/image3.svg"/><Relationship Id="rId1" Type="http://schemas.openxmlformats.org/officeDocument/2006/relationships/image" Target="../media/image2.png"/><Relationship Id="rId6" Type="http://schemas.openxmlformats.org/officeDocument/2006/relationships/image" Target="../media/image7.svg"/><Relationship Id="rId11" Type="http://schemas.microsoft.com/office/2007/relationships/diagramDrawing" Target="../diagrams/drawing1.xml"/><Relationship Id="rId5" Type="http://schemas.openxmlformats.org/officeDocument/2006/relationships/image" Target="../media/image6.png"/><Relationship Id="rId10" Type="http://schemas.openxmlformats.org/officeDocument/2006/relationships/diagramColors" Target="../diagrams/colors1.xml"/><Relationship Id="rId4" Type="http://schemas.openxmlformats.org/officeDocument/2006/relationships/image" Target="../media/image5.svg"/><Relationship Id="rId9" Type="http://schemas.openxmlformats.org/officeDocument/2006/relationships/diagramQuickStyle" Target="../diagrams/quickStyl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58757</xdr:colOff>
      <xdr:row>0</xdr:row>
      <xdr:rowOff>173399</xdr:rowOff>
    </xdr:from>
    <xdr:to>
      <xdr:col>11</xdr:col>
      <xdr:colOff>613645</xdr:colOff>
      <xdr:row>4</xdr:row>
      <xdr:rowOff>171771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52A4D1-3B42-CB4E-83C8-FC637055DF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94089" y="173399"/>
          <a:ext cx="1390755" cy="81480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801631</xdr:colOff>
      <xdr:row>1</xdr:row>
      <xdr:rowOff>22517</xdr:rowOff>
    </xdr:from>
    <xdr:to>
      <xdr:col>2</xdr:col>
      <xdr:colOff>337766</xdr:colOff>
      <xdr:row>2</xdr:row>
      <xdr:rowOff>76560</xdr:rowOff>
    </xdr:to>
    <xdr:sp macro="" textlink="">
      <xdr:nvSpPr>
        <xdr:cNvPr id="2" name="Rectángulo redondeado 1">
          <a:extLst>
            <a:ext uri="{FF2B5EF4-FFF2-40B4-BE49-F238E27FC236}">
              <a16:creationId xmlns:a16="http://schemas.microsoft.com/office/drawing/2014/main" id="{D3AAF254-D9BF-C94B-A267-52856B5EF05C}"/>
            </a:ext>
          </a:extLst>
        </xdr:cNvPr>
        <xdr:cNvSpPr/>
      </xdr:nvSpPr>
      <xdr:spPr>
        <a:xfrm>
          <a:off x="801631" y="225177"/>
          <a:ext cx="1184433" cy="256702"/>
        </a:xfrm>
        <a:prstGeom prst="roundRect">
          <a:avLst/>
        </a:prstGeom>
        <a:solidFill>
          <a:schemeClr val="accent2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1100"/>
            <a:t>Inicio</a:t>
          </a:r>
        </a:p>
      </xdr:txBody>
    </xdr:sp>
    <xdr:clientData/>
  </xdr:twoCellAnchor>
  <xdr:twoCellAnchor>
    <xdr:from>
      <xdr:col>1</xdr:col>
      <xdr:colOff>567446</xdr:colOff>
      <xdr:row>2</xdr:row>
      <xdr:rowOff>76560</xdr:rowOff>
    </xdr:from>
    <xdr:to>
      <xdr:col>1</xdr:col>
      <xdr:colOff>569699</xdr:colOff>
      <xdr:row>5</xdr:row>
      <xdr:rowOff>90070</xdr:rowOff>
    </xdr:to>
    <xdr:cxnSp macro="">
      <xdr:nvCxnSpPr>
        <xdr:cNvPr id="4" name="Conector recto de flecha 3">
          <a:extLst>
            <a:ext uri="{FF2B5EF4-FFF2-40B4-BE49-F238E27FC236}">
              <a16:creationId xmlns:a16="http://schemas.microsoft.com/office/drawing/2014/main" id="{6F0E7035-9067-284C-93E2-0732FB2D9A7E}"/>
            </a:ext>
          </a:extLst>
        </xdr:cNvPr>
        <xdr:cNvCxnSpPr>
          <a:stCxn id="2" idx="2"/>
        </xdr:cNvCxnSpPr>
      </xdr:nvCxnSpPr>
      <xdr:spPr>
        <a:xfrm flipH="1">
          <a:off x="1391595" y="481879"/>
          <a:ext cx="2253" cy="62148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283724</xdr:colOff>
      <xdr:row>5</xdr:row>
      <xdr:rowOff>85568</xdr:rowOff>
    </xdr:from>
    <xdr:to>
      <xdr:col>2</xdr:col>
      <xdr:colOff>27021</xdr:colOff>
      <xdr:row>8</xdr:row>
      <xdr:rowOff>54042</xdr:rowOff>
    </xdr:to>
    <xdr:sp macro="" textlink="">
      <xdr:nvSpPr>
        <xdr:cNvPr id="5" name="Elipse 4">
          <a:extLst>
            <a:ext uri="{FF2B5EF4-FFF2-40B4-BE49-F238E27FC236}">
              <a16:creationId xmlns:a16="http://schemas.microsoft.com/office/drawing/2014/main" id="{9649736B-B32E-CA4B-B55B-944CB33FED9F}"/>
            </a:ext>
          </a:extLst>
        </xdr:cNvPr>
        <xdr:cNvSpPr/>
      </xdr:nvSpPr>
      <xdr:spPr>
        <a:xfrm>
          <a:off x="1107873" y="1098866"/>
          <a:ext cx="567446" cy="576453"/>
        </a:xfrm>
        <a:prstGeom prst="ellipse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MX" sz="1100"/>
        </a:p>
      </xdr:txBody>
    </xdr:sp>
    <xdr:clientData/>
  </xdr:twoCellAnchor>
  <xdr:twoCellAnchor editAs="oneCell">
    <xdr:from>
      <xdr:col>2</xdr:col>
      <xdr:colOff>734078</xdr:colOff>
      <xdr:row>0</xdr:row>
      <xdr:rowOff>162128</xdr:rowOff>
    </xdr:from>
    <xdr:to>
      <xdr:col>4</xdr:col>
      <xdr:colOff>180</xdr:colOff>
      <xdr:row>5</xdr:row>
      <xdr:rowOff>63230</xdr:rowOff>
    </xdr:to>
    <xdr:pic>
      <xdr:nvPicPr>
        <xdr:cNvPr id="7" name="Gráfico 6" descr="3d Glasses con relleno sólido">
          <a:extLst>
            <a:ext uri="{FF2B5EF4-FFF2-40B4-BE49-F238E27FC236}">
              <a16:creationId xmlns:a16="http://schemas.microsoft.com/office/drawing/2014/main" id="{BA09BBB9-D711-9D46-987A-105945776A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382376" y="162128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756596</xdr:colOff>
      <xdr:row>5</xdr:row>
      <xdr:rowOff>4504</xdr:rowOff>
    </xdr:from>
    <xdr:to>
      <xdr:col>4</xdr:col>
      <xdr:colOff>22698</xdr:colOff>
      <xdr:row>9</xdr:row>
      <xdr:rowOff>108266</xdr:rowOff>
    </xdr:to>
    <xdr:pic>
      <xdr:nvPicPr>
        <xdr:cNvPr id="9" name="Gráfico 8" descr="Airplane con relleno sólido">
          <a:extLst>
            <a:ext uri="{FF2B5EF4-FFF2-40B4-BE49-F238E27FC236}">
              <a16:creationId xmlns:a16="http://schemas.microsoft.com/office/drawing/2014/main" id="{9D120CAF-E773-BD4D-AD8D-4038E74EFB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2404894" y="1017802"/>
          <a:ext cx="914400" cy="914400"/>
        </a:xfrm>
        <a:prstGeom prst="rect">
          <a:avLst/>
        </a:prstGeom>
      </xdr:spPr>
    </xdr:pic>
    <xdr:clientData/>
  </xdr:twoCellAnchor>
  <xdr:twoCellAnchor editAs="oneCell">
    <xdr:from>
      <xdr:col>2</xdr:col>
      <xdr:colOff>761099</xdr:colOff>
      <xdr:row>9</xdr:row>
      <xdr:rowOff>99078</xdr:rowOff>
    </xdr:from>
    <xdr:to>
      <xdr:col>4</xdr:col>
      <xdr:colOff>27201</xdr:colOff>
      <xdr:row>14</xdr:row>
      <xdr:rowOff>180</xdr:rowOff>
    </xdr:to>
    <xdr:pic>
      <xdr:nvPicPr>
        <xdr:cNvPr id="11" name="Gráfico 10" descr="Alterations &amp; Tailoring con relleno sólido">
          <a:extLst>
            <a:ext uri="{FF2B5EF4-FFF2-40B4-BE49-F238E27FC236}">
              <a16:creationId xmlns:a16="http://schemas.microsoft.com/office/drawing/2014/main" id="{913160F5-498F-E041-881D-C58B0F4B2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2409397" y="1923014"/>
          <a:ext cx="914400" cy="914400"/>
        </a:xfrm>
        <a:prstGeom prst="rect">
          <a:avLst/>
        </a:prstGeom>
      </xdr:spPr>
    </xdr:pic>
    <xdr:clientData/>
  </xdr:twoCellAnchor>
  <xdr:twoCellAnchor>
    <xdr:from>
      <xdr:col>3</xdr:col>
      <xdr:colOff>542228</xdr:colOff>
      <xdr:row>0</xdr:row>
      <xdr:rowOff>180141</xdr:rowOff>
    </xdr:from>
    <xdr:to>
      <xdr:col>9</xdr:col>
      <xdr:colOff>31526</xdr:colOff>
      <xdr:row>13</xdr:row>
      <xdr:rowOff>81065</xdr:rowOff>
    </xdr:to>
    <xdr:graphicFrame macro="">
      <xdr:nvGraphicFramePr>
        <xdr:cNvPr id="12" name="Diagrama 11">
          <a:extLst>
            <a:ext uri="{FF2B5EF4-FFF2-40B4-BE49-F238E27FC236}">
              <a16:creationId xmlns:a16="http://schemas.microsoft.com/office/drawing/2014/main" id="{19BD270A-AF25-D44C-A03F-ADE43EA4C4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7" r:lo="rId8" r:qs="rId9" r:cs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E1EF8-46B6-6C4E-B7B2-52628DC70F2D}">
  <dimension ref="A1:G8"/>
  <sheetViews>
    <sheetView showGridLines="0" topLeftCell="A7" zoomScale="310" zoomScaleNormal="310" workbookViewId="0">
      <selection activeCell="A8" sqref="A8:G8"/>
    </sheetView>
  </sheetViews>
  <sheetFormatPr baseColWidth="10" defaultRowHeight="15.75" x14ac:dyDescent="0.25"/>
  <sheetData>
    <row r="1" spans="1:7" ht="46.5" x14ac:dyDescent="0.7">
      <c r="A1" s="4" t="s">
        <v>0</v>
      </c>
      <c r="B1" s="4"/>
      <c r="C1" s="4"/>
      <c r="D1" s="4"/>
      <c r="E1" s="4"/>
      <c r="F1" s="4"/>
      <c r="G1" s="4"/>
    </row>
    <row r="2" spans="1:7" x14ac:dyDescent="0.25">
      <c r="A2" s="5" t="s">
        <v>1</v>
      </c>
      <c r="B2" s="5"/>
      <c r="C2" s="5"/>
      <c r="D2" s="5"/>
      <c r="E2" s="5"/>
      <c r="F2" s="5"/>
      <c r="G2" s="5"/>
    </row>
    <row r="3" spans="1:7" x14ac:dyDescent="0.25">
      <c r="A3" s="5"/>
      <c r="B3" s="5"/>
      <c r="C3" s="5"/>
      <c r="D3" s="5"/>
      <c r="E3" s="5"/>
      <c r="F3" s="5"/>
      <c r="G3" s="5"/>
    </row>
    <row r="4" spans="1:7" ht="28.5" x14ac:dyDescent="0.45">
      <c r="A4" s="3" t="s">
        <v>5</v>
      </c>
      <c r="B4" s="3"/>
      <c r="C4" s="3"/>
      <c r="D4" s="3"/>
      <c r="E4" s="3"/>
      <c r="F4" s="3"/>
      <c r="G4" s="3"/>
    </row>
    <row r="5" spans="1:7" ht="28.5" x14ac:dyDescent="0.45">
      <c r="A5" s="3" t="s">
        <v>2</v>
      </c>
      <c r="B5" s="3"/>
      <c r="C5" s="3"/>
      <c r="D5" s="3"/>
      <c r="E5" s="3"/>
      <c r="F5" s="3"/>
      <c r="G5" s="3"/>
    </row>
    <row r="6" spans="1:7" ht="28.5" x14ac:dyDescent="0.45">
      <c r="A6" s="3" t="s">
        <v>3</v>
      </c>
      <c r="B6" s="3"/>
      <c r="C6" s="3"/>
      <c r="D6" s="3"/>
      <c r="E6" s="3"/>
      <c r="F6" s="3"/>
      <c r="G6" s="3"/>
    </row>
    <row r="7" spans="1:7" ht="28.5" x14ac:dyDescent="0.45">
      <c r="A7" s="3" t="s">
        <v>4</v>
      </c>
      <c r="B7" s="3"/>
      <c r="C7" s="3"/>
      <c r="D7" s="3"/>
      <c r="E7" s="3"/>
      <c r="F7" s="3"/>
      <c r="G7" s="3"/>
    </row>
    <row r="8" spans="1:7" ht="28.5" x14ac:dyDescent="0.45">
      <c r="A8" s="3" t="s">
        <v>6</v>
      </c>
      <c r="B8" s="3"/>
      <c r="C8" s="3"/>
      <c r="D8" s="3"/>
      <c r="E8" s="3"/>
      <c r="F8" s="3"/>
      <c r="G8" s="3"/>
    </row>
  </sheetData>
  <mergeCells count="7">
    <mergeCell ref="A7:G7"/>
    <mergeCell ref="A8:G8"/>
    <mergeCell ref="A1:G1"/>
    <mergeCell ref="A2:G3"/>
    <mergeCell ref="A4:G4"/>
    <mergeCell ref="A5:G5"/>
    <mergeCell ref="A6:G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3162B-6305-7E4F-8A16-565369E0B3A6}">
  <dimension ref="A1:I16"/>
  <sheetViews>
    <sheetView zoomScale="98" zoomScaleNormal="98" workbookViewId="0">
      <selection activeCell="G16" sqref="G16"/>
    </sheetView>
  </sheetViews>
  <sheetFormatPr baseColWidth="10" defaultRowHeight="15.75" x14ac:dyDescent="0.25"/>
  <cols>
    <col min="5" max="5" width="6.5" customWidth="1"/>
    <col min="6" max="6" width="8.625" customWidth="1"/>
    <col min="8" max="8" width="5.625" customWidth="1"/>
  </cols>
  <sheetData>
    <row r="1" spans="1:9" x14ac:dyDescent="0.25">
      <c r="A1" t="s">
        <v>7</v>
      </c>
      <c r="B1" t="s">
        <v>8</v>
      </c>
      <c r="C1" t="s">
        <v>9</v>
      </c>
      <c r="D1" t="s">
        <v>10</v>
      </c>
      <c r="E1" t="s">
        <v>7</v>
      </c>
      <c r="F1" t="s">
        <v>8</v>
      </c>
      <c r="G1" t="s">
        <v>9</v>
      </c>
      <c r="H1" t="s">
        <v>10</v>
      </c>
    </row>
    <row r="2" spans="1:9" x14ac:dyDescent="0.25">
      <c r="A2">
        <v>23423</v>
      </c>
      <c r="B2">
        <v>234</v>
      </c>
      <c r="C2">
        <v>23423</v>
      </c>
      <c r="D2">
        <v>4</v>
      </c>
    </row>
    <row r="3" spans="1:9" x14ac:dyDescent="0.25">
      <c r="A3">
        <v>4234</v>
      </c>
      <c r="B3">
        <v>4</v>
      </c>
      <c r="C3">
        <v>42</v>
      </c>
      <c r="D3">
        <v>2342</v>
      </c>
    </row>
    <row r="4" spans="1:9" x14ac:dyDescent="0.25">
      <c r="A4">
        <v>23423</v>
      </c>
      <c r="B4">
        <v>423</v>
      </c>
      <c r="C4">
        <v>342</v>
      </c>
      <c r="D4">
        <v>4</v>
      </c>
      <c r="E4">
        <f>SUM(A4:D4)</f>
        <v>24192</v>
      </c>
    </row>
    <row r="5" spans="1:9" x14ac:dyDescent="0.25">
      <c r="A5">
        <v>423</v>
      </c>
      <c r="B5">
        <v>23</v>
      </c>
      <c r="C5">
        <v>34</v>
      </c>
      <c r="D5">
        <v>423</v>
      </c>
    </row>
    <row r="6" spans="1:9" x14ac:dyDescent="0.25">
      <c r="A6">
        <v>4</v>
      </c>
      <c r="B6">
        <v>234</v>
      </c>
      <c r="C6">
        <v>23</v>
      </c>
      <c r="D6">
        <v>423</v>
      </c>
      <c r="F6" t="s">
        <v>11</v>
      </c>
      <c r="G6" s="1" t="s">
        <v>12</v>
      </c>
    </row>
    <row r="7" spans="1:9" x14ac:dyDescent="0.25">
      <c r="A7">
        <v>234</v>
      </c>
      <c r="B7">
        <v>234</v>
      </c>
      <c r="C7">
        <v>42</v>
      </c>
      <c r="D7">
        <v>23</v>
      </c>
      <c r="F7" t="s">
        <v>13</v>
      </c>
      <c r="G7" s="1" t="s">
        <v>14</v>
      </c>
      <c r="I7" t="s">
        <v>15</v>
      </c>
    </row>
    <row r="8" spans="1:9" x14ac:dyDescent="0.25">
      <c r="A8">
        <v>234</v>
      </c>
      <c r="C8">
        <v>4</v>
      </c>
      <c r="D8">
        <v>23424</v>
      </c>
      <c r="G8">
        <f>5*4</f>
        <v>20</v>
      </c>
      <c r="H8">
        <v>20</v>
      </c>
    </row>
    <row r="9" spans="1:9" x14ac:dyDescent="0.25">
      <c r="A9">
        <v>23423</v>
      </c>
      <c r="B9">
        <v>234</v>
      </c>
      <c r="C9">
        <v>23423</v>
      </c>
      <c r="D9">
        <v>6</v>
      </c>
    </row>
    <row r="10" spans="1:9" x14ac:dyDescent="0.25">
      <c r="A10">
        <v>4234</v>
      </c>
      <c r="B10">
        <v>4</v>
      </c>
      <c r="C10">
        <v>42</v>
      </c>
      <c r="D10">
        <v>2342</v>
      </c>
      <c r="F10">
        <f>50+20</f>
        <v>70</v>
      </c>
      <c r="G10">
        <f>D4*D5</f>
        <v>1692</v>
      </c>
    </row>
    <row r="11" spans="1:9" x14ac:dyDescent="0.25">
      <c r="A11">
        <v>23423</v>
      </c>
      <c r="B11">
        <v>423</v>
      </c>
      <c r="C11">
        <v>342</v>
      </c>
      <c r="D11">
        <v>4</v>
      </c>
      <c r="F11">
        <f>A5+B5</f>
        <v>446</v>
      </c>
      <c r="G11">
        <f>B4/D4</f>
        <v>105.75</v>
      </c>
    </row>
    <row r="12" spans="1:9" x14ac:dyDescent="0.25">
      <c r="A12">
        <v>423</v>
      </c>
      <c r="B12">
        <v>23</v>
      </c>
      <c r="C12">
        <v>34</v>
      </c>
      <c r="D12">
        <v>423</v>
      </c>
      <c r="F12">
        <f>A5-B6</f>
        <v>189</v>
      </c>
      <c r="G12">
        <f>(A5+B5)+(B10*C10)-(C7+B7)</f>
        <v>338</v>
      </c>
    </row>
    <row r="13" spans="1:9" x14ac:dyDescent="0.25">
      <c r="A13">
        <v>4</v>
      </c>
      <c r="B13">
        <v>234</v>
      </c>
      <c r="C13">
        <v>23</v>
      </c>
      <c r="D13">
        <v>423</v>
      </c>
    </row>
    <row r="14" spans="1:9" x14ac:dyDescent="0.25">
      <c r="A14">
        <v>234</v>
      </c>
      <c r="B14">
        <v>234</v>
      </c>
      <c r="C14">
        <v>42</v>
      </c>
      <c r="D14">
        <v>23</v>
      </c>
    </row>
    <row r="15" spans="1:9" x14ac:dyDescent="0.25">
      <c r="A15">
        <v>234</v>
      </c>
      <c r="C15">
        <v>4</v>
      </c>
      <c r="D15">
        <v>23424</v>
      </c>
    </row>
    <row r="16" spans="1:9" x14ac:dyDescent="0.25">
      <c r="A16">
        <f>SUM(A2:A15)</f>
        <v>103950</v>
      </c>
      <c r="B16">
        <f>PRODUCT(B10,B12,B7)</f>
        <v>21528</v>
      </c>
      <c r="C16">
        <f>PRODUCT(C12:C15)</f>
        <v>131376</v>
      </c>
      <c r="D16">
        <f>SUM(D2:D15)</f>
        <v>53288</v>
      </c>
      <c r="E16">
        <f>MAX(D2:D15)</f>
        <v>23424</v>
      </c>
      <c r="F16">
        <f>MIN(D2:D15)</f>
        <v>4</v>
      </c>
      <c r="G16" s="2">
        <f>AVERAGE(D2:D15)</f>
        <v>3806.2857142857142</v>
      </c>
      <c r="H16">
        <f>MEDIAN(D2:D15)</f>
        <v>423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08BCE-84D0-A343-8215-D3DE0DC0E457}">
  <dimension ref="A1"/>
  <sheetViews>
    <sheetView tabSelected="1" topLeftCell="A4" zoomScale="282" zoomScaleNormal="282" workbookViewId="0">
      <selection activeCell="C12" sqref="C12"/>
    </sheetView>
  </sheetViews>
  <sheetFormatPr baseColWidth="10" defaultRowHeight="15.7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Contenido</vt:lpstr>
      <vt:lpstr>Ejercicios</vt:lpstr>
      <vt:lpstr>Elementos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Teran P</dc:creator>
  <cp:lastModifiedBy>Mirtix Martins</cp:lastModifiedBy>
  <dcterms:created xsi:type="dcterms:W3CDTF">2021-05-07T16:41:17Z</dcterms:created>
  <dcterms:modified xsi:type="dcterms:W3CDTF">2022-07-27T19:03:01Z</dcterms:modified>
</cp:coreProperties>
</file>