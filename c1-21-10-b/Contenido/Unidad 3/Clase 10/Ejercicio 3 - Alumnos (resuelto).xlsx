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https://d.docs.live.net/4c1156ef6913eb59/Escritorio/2022/Diseño Uai Ultra/Contenidos diseño Uai Ultra/C8/Excel I/"/>
    </mc:Choice>
  </mc:AlternateContent>
  <xr:revisionPtr revIDLastSave="2" documentId="8_{AEF6E401-9596-4B21-BEB2-ABC6D12F53FE}" xr6:coauthVersionLast="47" xr6:coauthVersionMax="47" xr10:uidLastSave="{07DF789A-88DE-444A-BF0E-BB247EE59B53}"/>
  <bookViews>
    <workbookView xWindow="-120" yWindow="-120" windowWidth="29040" windowHeight="15840" xr2:uid="{00000000-000D-0000-FFFF-FFFF00000000}"/>
  </bookViews>
  <sheets>
    <sheet name="Estadistica alumnos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<sst xmlns="http://schemas.openxmlformats.org/spreadsheetml/2006/main" count="24" uniqueCount="24">
  <si>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Fecha</t>
  </si>
  <si>
    <t>Alumno</t>
  </si>
  <si>
    <t>notas</t>
  </si>
  <si>
    <t>Promedio</t>
  </si>
  <si>
    <t>Estado</t>
  </si>
  <si>
    <t>Parcial</t>
  </si>
  <si>
    <t>parcial</t>
  </si>
  <si>
    <t>TP</t>
  </si>
  <si>
    <t>Perez, Juan</t>
  </si>
  <si>
    <t>Nota maxima</t>
  </si>
  <si>
    <t>Nota minima</t>
  </si>
  <si>
    <t>Laclena, Ariana</t>
  </si>
  <si>
    <t>Galleau, Nicolas</t>
  </si>
  <si>
    <t>Kardagian, Kimberley</t>
  </si>
  <si>
    <t>Casas, Gonzalo</t>
  </si>
  <si>
    <t>Fernandez, Matilda</t>
  </si>
  <si>
    <t>Miño, Pierina</t>
  </si>
  <si>
    <t>Ginagera, Roberto</t>
  </si>
  <si>
    <t>Rondeau, Blas</t>
  </si>
  <si>
    <t xml:space="preserve">Vonka, Ruth </t>
  </si>
  <si>
    <t>&lt;4 Insuficiente</t>
  </si>
  <si>
    <t>&lt;8 Aprobado</t>
  </si>
  <si>
    <t>&lt;9 notable</t>
  </si>
  <si>
    <t>10  excelente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</si>
</sst>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0" fontId="2" fillId="0" borderId="1" xfId="0" applyFont="1" applyBorder="1"/>
    <xf numFmtId="2" fontId="0" fillId="2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2E7D3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200025</xdr:rowOff>
    </xdr:from>
    <xdr:to>
      <xdr:col>14</xdr:col>
      <xdr:colOff>0</xdr:colOff>
      <xdr:row>12</xdr:row>
      <xdr:rowOff>9525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7639050" y="2590800"/>
          <a:ext cx="381000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11</xdr:row>
      <xdr:rowOff>171450</xdr:rowOff>
    </xdr:from>
    <xdr:to>
      <xdr:col>9</xdr:col>
      <xdr:colOff>390525</xdr:colOff>
      <xdr:row>12</xdr:row>
      <xdr:rowOff>85725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8020050" y="2562225"/>
          <a:ext cx="9525" cy="1238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342900</xdr:colOff>
      <xdr:row>11</xdr:row>
      <xdr:rowOff>123825</xdr:rowOff>
    </xdr:from>
    <xdr:to>
      <xdr:col>10</xdr:col>
      <xdr:colOff>361950</xdr:colOff>
      <xdr:row>12</xdr:row>
      <xdr:rowOff>133350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8743950" y="2514600"/>
          <a:ext cx="19050" cy="219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333375</xdr:colOff>
      <xdr:row>11</xdr:row>
      <xdr:rowOff>152400</xdr:rowOff>
    </xdr:from>
    <xdr:to>
      <xdr:col>11</xdr:col>
      <xdr:colOff>361950</xdr:colOff>
      <xdr:row>12</xdr:row>
      <xdr:rowOff>57150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9496425" y="2543175"/>
          <a:ext cx="28575" cy="114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285750</xdr:colOff>
      <xdr:row>11</xdr:row>
      <xdr:rowOff>133350</xdr:rowOff>
    </xdr:from>
    <xdr:to>
      <xdr:col>12</xdr:col>
      <xdr:colOff>333375</xdr:colOff>
      <xdr:row>12</xdr:row>
      <xdr:rowOff>85725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0210800" y="2524125"/>
          <a:ext cx="47625" cy="1619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371475</xdr:colOff>
      <xdr:row>11</xdr:row>
      <xdr:rowOff>161925</xdr:rowOff>
    </xdr:from>
    <xdr:to>
      <xdr:col>13</xdr:col>
      <xdr:colOff>419100</xdr:colOff>
      <xdr:row>12</xdr:row>
      <xdr:rowOff>104775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11058525" y="2552700"/>
          <a:ext cx="47625" cy="152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704850</xdr:colOff>
      <xdr:row>10</xdr:row>
      <xdr:rowOff>76200</xdr:rowOff>
    </xdr:from>
    <xdr:to>
      <xdr:col>14</xdr:col>
      <xdr:colOff>76200</xdr:colOff>
      <xdr:row>11</xdr:row>
      <xdr:rowOff>114300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581900" y="2257425"/>
          <a:ext cx="39433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0         1          2        3           4        5           6         7           8        9      10    </a:t>
          </a:r>
        </a:p>
      </xdr:txBody>
    </xdr:sp>
    <xdr:clientData/>
  </xdr:twoCellAnchor>
  <xdr:twoCellAnchor>
    <xdr:from>
      <xdr:col>8</xdr:col>
      <xdr:colOff>742950</xdr:colOff>
      <xdr:row>12</xdr:row>
      <xdr:rowOff>180975</xdr:rowOff>
    </xdr:from>
    <xdr:to>
      <xdr:col>11</xdr:col>
      <xdr:colOff>28575</xdr:colOff>
      <xdr:row>14</xdr:row>
      <xdr:rowOff>66675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620000" y="2781300"/>
          <a:ext cx="1571625" cy="30480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AR" sz="1100"/>
            <a:t>Insuficiente</a:t>
          </a:r>
        </a:p>
      </xdr:txBody>
    </xdr:sp>
    <xdr:clientData/>
  </xdr:twoCellAnchor>
  <xdr:twoCellAnchor>
    <xdr:from>
      <xdr:col>9</xdr:col>
      <xdr:colOff>47625</xdr:colOff>
      <xdr:row>12</xdr:row>
      <xdr:rowOff>49531</xdr:rowOff>
    </xdr:from>
    <xdr:to>
      <xdr:col>11</xdr:col>
      <xdr:colOff>28575</xdr:colOff>
      <xdr:row>12</xdr:row>
      <xdr:rowOff>95250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7686675" y="2649856"/>
          <a:ext cx="1504950" cy="45719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AR" sz="1100"/>
        </a:p>
      </xdr:txBody>
    </xdr:sp>
    <xdr:clientData/>
  </xdr:twoCellAnchor>
  <xdr:twoCellAnchor>
    <xdr:from>
      <xdr:col>11</xdr:col>
      <xdr:colOff>114300</xdr:colOff>
      <xdr:row>12</xdr:row>
      <xdr:rowOff>38100</xdr:rowOff>
    </xdr:from>
    <xdr:to>
      <xdr:col>13</xdr:col>
      <xdr:colOff>19050</xdr:colOff>
      <xdr:row>12</xdr:row>
      <xdr:rowOff>83819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9277350" y="2638425"/>
          <a:ext cx="1428750" cy="4571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13</xdr:col>
      <xdr:colOff>57150</xdr:colOff>
      <xdr:row>12</xdr:row>
      <xdr:rowOff>38100</xdr:rowOff>
    </xdr:from>
    <xdr:to>
      <xdr:col>13</xdr:col>
      <xdr:colOff>428625</xdr:colOff>
      <xdr:row>12</xdr:row>
      <xdr:rowOff>95250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0744200" y="2638425"/>
          <a:ext cx="371475" cy="571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13</xdr:col>
      <xdr:colOff>466725</xdr:colOff>
      <xdr:row>12</xdr:row>
      <xdr:rowOff>9525</xdr:rowOff>
    </xdr:from>
    <xdr:to>
      <xdr:col>14</xdr:col>
      <xdr:colOff>200025</xdr:colOff>
      <xdr:row>12</xdr:row>
      <xdr:rowOff>114300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1153775" y="2609850"/>
          <a:ext cx="495300" cy="10477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11</xdr:col>
      <xdr:colOff>133350</xdr:colOff>
      <xdr:row>13</xdr:row>
      <xdr:rowOff>19050</xdr:rowOff>
    </xdr:from>
    <xdr:to>
      <xdr:col>13</xdr:col>
      <xdr:colOff>0</xdr:colOff>
      <xdr:row>14</xdr:row>
      <xdr:rowOff>85725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9296400" y="2828925"/>
          <a:ext cx="1390650" cy="276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AR" sz="1100"/>
            <a:t>Aprobados</a:t>
          </a:r>
        </a:p>
      </xdr:txBody>
    </xdr:sp>
    <xdr:clientData/>
  </xdr:twoCellAnchor>
  <xdr:twoCellAnchor>
    <xdr:from>
      <xdr:col>13</xdr:col>
      <xdr:colOff>133350</xdr:colOff>
      <xdr:row>12</xdr:row>
      <xdr:rowOff>200024</xdr:rowOff>
    </xdr:from>
    <xdr:to>
      <xdr:col>13</xdr:col>
      <xdr:colOff>466725</xdr:colOff>
      <xdr:row>20</xdr:row>
      <xdr:rowOff>95249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0820400" y="2800349"/>
          <a:ext cx="333375" cy="15716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wordArtVert" rtlCol="0" anchor="t"/>
        <a:lstStyle/>
        <a:p>
          <a:pPr algn="l"/>
          <a:r>
            <a:rPr lang="es-AR" sz="1100"/>
            <a:t>Notable</a:t>
          </a:r>
        </a:p>
      </xdr:txBody>
    </xdr:sp>
    <xdr:clientData/>
  </xdr:twoCellAnchor>
  <xdr:twoCellAnchor>
    <xdr:from>
      <xdr:col>13</xdr:col>
      <xdr:colOff>533400</xdr:colOff>
      <xdr:row>12</xdr:row>
      <xdr:rowOff>209549</xdr:rowOff>
    </xdr:from>
    <xdr:to>
      <xdr:col>14</xdr:col>
      <xdr:colOff>171450</xdr:colOff>
      <xdr:row>22</xdr:row>
      <xdr:rowOff>104774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11220450" y="2809874"/>
          <a:ext cx="400050" cy="199072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wordArtVert" rtlCol="0" anchor="t"/>
        <a:lstStyle/>
        <a:p>
          <a:pPr algn="l"/>
          <a:r>
            <a:rPr lang="es-AR" sz="1100">
              <a:solidFill>
                <a:schemeClr val="tx1"/>
              </a:solidFill>
            </a:rPr>
            <a:t>Excelente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H29" sqref="H29"/>
    </sheetView>
  </sheetViews>
  <sheetFormatPr baseColWidth="10" defaultRowHeight="15" x14ac:dyDescent="0.25"/>
  <cols>
    <col min="1" max="1" width="20" bestFit="1" customWidth="1"/>
    <col min="5" max="6" width="13" bestFit="1" customWidth="1"/>
  </cols>
  <sheetData>
    <row r="1" spans="1:13" ht="15.75" thickBot="1" x14ac:dyDescent="0.3">
      <c r="A1" t="s">
        <v>0</v>
      </c>
      <c r="B1" s="1">
        <f>TODAY()</f>
        <v>46325</v>
      </c>
    </row>
    <row r="2" spans="1:13" ht="20.25" thickTop="1" thickBot="1" x14ac:dyDescent="0.35">
      <c r="A2" s="7" t="s">
        <v>1</v>
      </c>
      <c r="B2" s="8" t="s">
        <v>2</v>
      </c>
      <c r="C2" s="9"/>
      <c r="D2" s="10"/>
      <c r="E2" s="11" t="s">
        <v>3</v>
      </c>
      <c r="F2" s="11" t="s">
        <v>4</v>
      </c>
    </row>
    <row r="3" spans="1:13" ht="20.25" thickTop="1" thickBot="1" x14ac:dyDescent="0.3">
      <c r="A3" s="7"/>
      <c r="B3" s="2" t="s">
        <v>5</v>
      </c>
      <c r="C3" s="2" t="s">
        <v>6</v>
      </c>
      <c r="D3" s="2" t="s">
        <v>7</v>
      </c>
      <c r="E3" s="11"/>
      <c r="F3" s="11"/>
      <c r="M3" t="s">
        <v>20</v>
      </c>
    </row>
    <row r="4" spans="1:13" ht="16.5" thickTop="1" thickBot="1" x14ac:dyDescent="0.3">
      <c r="A4" s="3" t="s">
        <v>11</v>
      </c>
      <c r="B4" s="6">
        <v>2.5</v>
      </c>
      <c r="C4" s="6">
        <v>2</v>
      </c>
      <c r="D4" s="6">
        <v>1</v>
      </c>
      <c r="E4" s="4">
        <f>AVERAGE(B4:D4)</f>
        <v>1.833333333333</v>
      </c>
      <c r="F4" s="3" t="str">
        <f>IF(E4&lt;4,"Insuficiente",IF(E4&lt;8,"Aprobado",IF(E4&lt;9,"Notable","Excelente")))</f>
        <v>Insuficiente</v>
      </c>
      <c r="M4" t="s">
        <v>21</v>
      </c>
    </row>
    <row r="5" spans="1:13" ht="16.5" thickTop="1" thickBot="1" x14ac:dyDescent="0.3">
      <c r="A5" s="3" t="s">
        <v>12</v>
      </c>
      <c r="B5" s="6">
        <v>8.5</v>
      </c>
      <c r="C5" s="6">
        <v>8</v>
      </c>
      <c r="D5" s="6">
        <v>8</v>
      </c>
      <c r="E5" s="4">
        <f>AVERAGE(B5:D5)</f>
        <v>8.166666666667</v>
      </c>
      <c r="F5" s="3" t="str">
        <f>IF(E5&lt;4,"Insuficiente",IF(E5&lt;8,"Aprobado",IF(E5&lt;9,"Notable","Excelente")))</f>
        <v>Notable</v>
      </c>
      <c r="M5" t="s">
        <v>22</v>
      </c>
    </row>
    <row r="6" spans="1:13" ht="16.5" thickTop="1" thickBot="1" x14ac:dyDescent="0.3">
      <c r="A6" s="3" t="s">
        <v>13</v>
      </c>
      <c r="B6" s="6">
        <v>8</v>
      </c>
      <c r="C6" s="6">
        <v>6.5</v>
      </c>
      <c r="D6" s="6">
        <v>7.5</v>
      </c>
      <c r="E6" s="4">
        <f>AVERAGE(B6:D6)</f>
        <v>7.333333333333</v>
      </c>
      <c r="F6" s="3" t="str">
        <f>IF(E6&lt;4,"Insuficiente",IF(E6&lt;8,"Aprobado",IF(E6&lt;9,"Notable","Excelente")))</f>
        <v>Aprobado</v>
      </c>
      <c r="M6" t="s">
        <v>23</v>
      </c>
    </row>
    <row r="7" spans="1:13" ht="16.5" thickTop="1" thickBot="1" x14ac:dyDescent="0.3">
      <c r="A7" s="3" t="s">
        <v>14</v>
      </c>
      <c r="B7" s="6">
        <v>4</v>
      </c>
      <c r="C7" s="6">
        <v>3.5</v>
      </c>
      <c r="D7" s="6">
        <v>2</v>
      </c>
      <c r="E7" s="4">
        <f>AVERAGE(B7:D7)</f>
        <v>3.166666666667</v>
      </c>
      <c r="F7" s="3" t="str">
        <f>IF(E7&lt;4,"Insuficiente",IF(E7&lt;8,"Aprobado",IF(E7&lt;9,"Notable","Excelente")))</f>
        <v>Insuficiente</v>
      </c>
    </row>
    <row r="8" spans="1:13" ht="16.5" thickTop="1" thickBot="1" x14ac:dyDescent="0.3">
      <c r="A8" s="3" t="s">
        <v>15</v>
      </c>
      <c r="B8" s="6">
        <v>7</v>
      </c>
      <c r="C8" s="6">
        <v>8.5</v>
      </c>
      <c r="D8" s="6">
        <v>4</v>
      </c>
      <c r="E8" s="4">
        <f>AVERAGE(B8:D8)</f>
        <v>6.5</v>
      </c>
      <c r="F8" s="3" t="str">
        <f>IF(E8&lt;4,"Insuficiente",IF(E8&lt;8,"Aprobado",IF(E8&lt;9,"Notable","Excelente")))</f>
        <v>Aprobado</v>
      </c>
    </row>
    <row r="9" spans="1:13" ht="16.5" thickTop="1" thickBot="1" x14ac:dyDescent="0.3">
      <c r="A9" s="3" t="s">
        <v>16</v>
      </c>
      <c r="B9" s="6">
        <v>4</v>
      </c>
      <c r="C9" s="6">
        <v>9.5</v>
      </c>
      <c r="D9" s="6">
        <v>3</v>
      </c>
      <c r="E9" s="4">
        <f>AVERAGE(B9:D9)</f>
        <v>5.5</v>
      </c>
      <c r="F9" s="3" t="str">
        <f>IF(E9&lt;4,"Insuficiente",IF(E9&lt;8,"Aprobado",IF(E9&lt;9,"Notable","Excelente")))</f>
        <v>Aprobado</v>
      </c>
    </row>
    <row r="10" spans="1:13" ht="16.5" thickTop="1" thickBot="1" x14ac:dyDescent="0.3">
      <c r="A10" s="3" t="s">
        <v>8</v>
      </c>
      <c r="B10" s="6">
        <v>4</v>
      </c>
      <c r="C10" s="6">
        <v>5</v>
      </c>
      <c r="D10" s="6">
        <v>6</v>
      </c>
      <c r="E10" s="4">
        <f>AVERAGE(B10:D10)</f>
        <v>5</v>
      </c>
      <c r="F10" s="3" t="str">
        <f>IF(E10&lt;4,"Insuficiente",IF(E10&lt;8,"Aprobado",IF(E10&lt;9,"Notable","Excelente")))</f>
        <v>Aprobado</v>
      </c>
    </row>
    <row r="11" spans="1:13" ht="16.5" thickTop="1" thickBot="1" x14ac:dyDescent="0.3">
      <c r="A11" s="3" t="s">
        <v>17</v>
      </c>
      <c r="B11" s="6">
        <v>9.5</v>
      </c>
      <c r="C11" s="6">
        <v>9</v>
      </c>
      <c r="D11" s="6">
        <v>10</v>
      </c>
      <c r="E11" s="4">
        <f>AVERAGE(B11:D11)</f>
        <v>9.5</v>
      </c>
      <c r="F11" s="3" t="str">
        <f>IF(E11&lt;4,"Insuficiente",IF(E11&lt;8,"Aprobado",IF(E11&lt;9,"Notable","Excelente")))</f>
        <v>Excelente</v>
      </c>
    </row>
    <row r="12" spans="1:13" ht="16.5" thickTop="1" thickBot="1" x14ac:dyDescent="0.3">
      <c r="A12" s="3" t="s">
        <v>18</v>
      </c>
      <c r="B12" s="6">
        <v>1</v>
      </c>
      <c r="C12" s="6">
        <v>1</v>
      </c>
      <c r="D12" s="6">
        <v>1</v>
      </c>
      <c r="E12" s="4">
        <f>AVERAGE(B12:D12)</f>
        <v>1</v>
      </c>
      <c r="F12" s="3" t="str">
        <f>IF(E12&lt;4,"Insuficiente",IF(E12&lt;8,"Aprobado",IF(E12&lt;9,"Notable","Excelente")))</f>
        <v>Insuficiente</v>
      </c>
    </row>
    <row r="13" spans="1:13" ht="16.5" thickTop="1" thickBot="1" x14ac:dyDescent="0.3">
      <c r="A13" s="3" t="s">
        <v>19</v>
      </c>
      <c r="B13" s="6">
        <v>2</v>
      </c>
      <c r="C13" s="6">
        <v>3</v>
      </c>
      <c r="D13" s="6">
        <v>3</v>
      </c>
      <c r="E13" s="4">
        <f>AVERAGE(B13:D13)</f>
        <v>2.666666666667</v>
      </c>
      <c r="F13" s="3" t="str">
        <f>IF(E13&lt;4,"Insuficiente",IF(E13&lt;8,"Aprobado",IF(E13&lt;9,"Notable","Excelente")))</f>
        <v>Insuficiente</v>
      </c>
    </row>
    <row r="14" spans="1:13" ht="16.5" thickTop="1" thickBot="1" x14ac:dyDescent="0.3"/>
    <row r="15" spans="1:13" ht="16.5" thickTop="1" thickBot="1" x14ac:dyDescent="0.3">
      <c r="A15" s="5" t="s">
        <v>9</v>
      </c>
      <c r="B15" s="4">
        <f>MAX(B4:B13)</f>
        <v>9.5</v>
      </c>
      <c r="C15" s="4">
        <f>MAX(C4:C13)</f>
        <v>9.5</v>
      </c>
      <c r="D15" s="4">
        <f>MAX(D4:D13)</f>
        <v>10</v>
      </c>
    </row>
    <row r="16" spans="1:13" ht="16.5" thickTop="1" thickBot="1" x14ac:dyDescent="0.3">
      <c r="A16" s="5" t="s">
        <v>10</v>
      </c>
      <c r="B16" s="4">
        <f>MIN(B4:B13)</f>
        <v>1</v>
      </c>
      <c r="C16" s="4">
        <f>MIN(C4:C13)</f>
        <v>1</v>
      </c>
      <c r="D16" s="4">
        <f>MIN(D4:D13)</f>
        <v>1</v>
      </c>
    </row>
    <row r="17" ht="15.75" thickTop="1" x14ac:dyDescent="0.25"/>
  </sheetData>
  <mergeCells count="4">
    <mergeCell ref="A2:A3"/>
    <mergeCell ref="B2:D2"/>
    <mergeCell ref="E2:E3"/>
    <mergeCell ref="F2:F3"/>
  </mergeCells>
  <conditionalFormatting sqref="F4:F13">
    <cfRule type="cellIs" dxfId="0" priority="1" operator="equal">
      <formula>"Insuficiente"</formula>
    </cfRule>
    <cfRule type="cellIs" dxfId="1" priority="2" operator="equal">
      <formula>"Aprobado"</formula>
    </cfRule>
    <cfRule type="cellIs" dxfId="2" priority="3" operator="equal">
      <formula>"Notable"</formula>
    </cfRule>
    <cfRule type="cellIs" dxfId="3" priority="4" operator="equal">
      <formula>"Excelente"</formula>
    </cfRule>
  </conditionalFormatting>
  <dataValidations count="1">
    <dataValidation type="whole" allowBlank="1" showInputMessage="1" showErrorMessage="1" sqref="B4:B13" xr:uid="{00000000-0002-0000-0000-000000000000}">
      <formula1>1</formula1>
      <formula2>10</formula2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Estadistica alumnos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Navegador</dc:creator>
  <cp:lastModifiedBy>Mirtix Martins</cp:lastModifiedBy>
  <dcterms:created xsi:type="dcterms:W3CDTF">2015-06-18T13:30:40Z</dcterms:created>
  <dcterms:modified xsi:type="dcterms:W3CDTF">2022-07-27T20:32:24Z</dcterms:modified>
</cp:coreProperties>
</file>